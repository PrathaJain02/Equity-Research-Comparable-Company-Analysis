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CA\CCA\"/>
    </mc:Choice>
  </mc:AlternateContent>
  <xr:revisionPtr revIDLastSave="0" documentId="13_ncr:1_{D5F5EF45-6C89-4A70-A2FB-C592C871532A}" xr6:coauthVersionLast="47" xr6:coauthVersionMax="47" xr10:uidLastSave="{00000000-0000-0000-0000-000000000000}"/>
  <bookViews>
    <workbookView xWindow="9510" yWindow="0" windowWidth="9780" windowHeight="10170" xr2:uid="{BFADB40B-49DF-46B8-A18E-28DCC84A042C}"/>
  </bookViews>
  <sheets>
    <sheet name="CCA" sheetId="1" r:id="rId1"/>
    <sheet name="FORWARD No- FY26, FY27" sheetId="4" r:id="rId2"/>
    <sheet name="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4" l="1"/>
  <c r="I25" i="4"/>
  <c r="I20" i="4"/>
  <c r="O20" i="4"/>
  <c r="N20" i="4"/>
  <c r="M20" i="4"/>
  <c r="L20" i="4"/>
  <c r="K20" i="4"/>
  <c r="J20" i="4"/>
  <c r="I11" i="1"/>
  <c r="I10" i="1"/>
  <c r="I9" i="1"/>
  <c r="I8" i="1"/>
  <c r="I7" i="1"/>
  <c r="K13" i="1"/>
  <c r="K12" i="1"/>
  <c r="K11" i="1"/>
  <c r="K10" i="1"/>
  <c r="K9" i="1"/>
  <c r="K8" i="1"/>
  <c r="K7" i="1"/>
  <c r="I13" i="1"/>
  <c r="I12" i="1"/>
  <c r="I31" i="4"/>
  <c r="J7" i="1"/>
  <c r="B104" i="4"/>
  <c r="B105" i="4"/>
  <c r="B103" i="4"/>
  <c r="E103" i="4"/>
  <c r="D103" i="4"/>
  <c r="C103" i="4"/>
  <c r="J12" i="1"/>
  <c r="J9" i="1"/>
  <c r="K30" i="4"/>
  <c r="L30" i="4"/>
  <c r="J10" i="1" s="1"/>
  <c r="N30" i="4"/>
  <c r="O30" i="4"/>
  <c r="J13" i="1" s="1"/>
  <c r="J30" i="4"/>
  <c r="J8" i="1" s="1"/>
  <c r="O25" i="4"/>
  <c r="O37" i="4" s="1"/>
  <c r="N25" i="4"/>
  <c r="N37" i="4" s="1"/>
  <c r="M25" i="4"/>
  <c r="L25" i="4"/>
  <c r="L37" i="4" s="1"/>
  <c r="K25" i="4"/>
  <c r="K37" i="4" s="1"/>
  <c r="J25" i="4"/>
  <c r="J37" i="4" s="1"/>
  <c r="N19" i="4"/>
  <c r="M19" i="4"/>
  <c r="I19" i="4"/>
  <c r="C147" i="4"/>
  <c r="D147" i="4"/>
  <c r="E147" i="4"/>
  <c r="B147" i="4"/>
  <c r="C125" i="4"/>
  <c r="D125" i="4"/>
  <c r="E125" i="4"/>
  <c r="B125" i="4"/>
  <c r="C81" i="4"/>
  <c r="D81" i="4"/>
  <c r="E81" i="4"/>
  <c r="B81" i="4"/>
  <c r="D59" i="4"/>
  <c r="E59" i="4"/>
  <c r="C59" i="4"/>
  <c r="B59" i="4"/>
  <c r="C37" i="4"/>
  <c r="D37" i="4"/>
  <c r="E37" i="4"/>
  <c r="B37" i="4"/>
  <c r="C15" i="4"/>
  <c r="D15" i="4"/>
  <c r="E15" i="4"/>
  <c r="B15" i="4"/>
  <c r="N31" i="4" l="1"/>
  <c r="J31" i="4"/>
  <c r="K31" i="4"/>
  <c r="O31" i="4"/>
  <c r="L31" i="4"/>
  <c r="I37" i="4"/>
  <c r="C150" i="4"/>
  <c r="D150" i="4"/>
  <c r="E150" i="4"/>
  <c r="C128" i="4"/>
  <c r="D128" i="4"/>
  <c r="E128" i="4"/>
  <c r="C106" i="4"/>
  <c r="D106" i="4"/>
  <c r="E106" i="4"/>
  <c r="C84" i="4"/>
  <c r="D84" i="4"/>
  <c r="E84" i="4"/>
  <c r="C62" i="4"/>
  <c r="D62" i="4"/>
  <c r="E62" i="4"/>
  <c r="C40" i="4"/>
  <c r="D40" i="4"/>
  <c r="E40" i="4"/>
  <c r="C18" i="4"/>
  <c r="D18" i="4"/>
  <c r="E18" i="4"/>
  <c r="O3" i="4"/>
  <c r="N3" i="4"/>
  <c r="M3" i="4"/>
  <c r="L3" i="4"/>
  <c r="K3" i="4"/>
  <c r="J3" i="4"/>
  <c r="I3" i="4"/>
  <c r="E148" i="4" l="1"/>
  <c r="D148" i="4"/>
  <c r="C148" i="4"/>
  <c r="B148" i="4"/>
  <c r="B149" i="4" l="1"/>
  <c r="B151" i="4"/>
  <c r="C149" i="4"/>
  <c r="C151" i="4"/>
  <c r="D151" i="4"/>
  <c r="D149" i="4"/>
  <c r="E151" i="4"/>
  <c r="E149" i="4"/>
  <c r="B150" i="4"/>
  <c r="L8" i="4" s="1"/>
  <c r="L13" i="4" l="1"/>
  <c r="E126" i="4"/>
  <c r="D126" i="4"/>
  <c r="C126" i="4"/>
  <c r="B126" i="4"/>
  <c r="C129" i="4" l="1"/>
  <c r="C127" i="4"/>
  <c r="D129" i="4"/>
  <c r="D127" i="4"/>
  <c r="B129" i="4"/>
  <c r="B127" i="4"/>
  <c r="E129" i="4"/>
  <c r="E127" i="4"/>
  <c r="B128" i="4"/>
  <c r="O8" i="4" s="1"/>
  <c r="O13" i="4" l="1"/>
  <c r="E104" i="4"/>
  <c r="D104" i="4"/>
  <c r="C104" i="4"/>
  <c r="B107" i="4" l="1"/>
  <c r="C107" i="4"/>
  <c r="C105" i="4"/>
  <c r="D107" i="4"/>
  <c r="D105" i="4"/>
  <c r="E107" i="4"/>
  <c r="E105" i="4"/>
  <c r="B106" i="4"/>
  <c r="M8" i="4" s="1"/>
  <c r="M30" i="4" l="1"/>
  <c r="J11" i="1" s="1"/>
  <c r="M31" i="4"/>
  <c r="M13" i="4"/>
  <c r="E82" i="4"/>
  <c r="D82" i="4"/>
  <c r="C82" i="4"/>
  <c r="B82" i="4"/>
  <c r="E60" i="4"/>
  <c r="D60" i="4"/>
  <c r="C60" i="4"/>
  <c r="B60" i="4"/>
  <c r="M37" i="4" l="1"/>
  <c r="D85" i="4"/>
  <c r="D83" i="4"/>
  <c r="B83" i="4"/>
  <c r="B85" i="4"/>
  <c r="C85" i="4"/>
  <c r="C83" i="4"/>
  <c r="E85" i="4"/>
  <c r="E83" i="4"/>
  <c r="B84" i="4"/>
  <c r="J8" i="4" s="1"/>
  <c r="B63" i="4"/>
  <c r="B61" i="4"/>
  <c r="C63" i="4"/>
  <c r="C61" i="4"/>
  <c r="D63" i="4"/>
  <c r="D61" i="4"/>
  <c r="E63" i="4"/>
  <c r="E61" i="4"/>
  <c r="B62" i="4"/>
  <c r="N8" i="4" s="1"/>
  <c r="J13" i="4" l="1"/>
  <c r="N13" i="4"/>
  <c r="B38" i="4"/>
  <c r="E38" i="4"/>
  <c r="D38" i="4"/>
  <c r="C38" i="4"/>
  <c r="B41" i="4" l="1"/>
  <c r="B39" i="4"/>
  <c r="C41" i="4"/>
  <c r="C39" i="4"/>
  <c r="D41" i="4"/>
  <c r="D39" i="4"/>
  <c r="E41" i="4"/>
  <c r="E39" i="4"/>
  <c r="B40" i="4"/>
  <c r="K8" i="4" s="1"/>
  <c r="K13" i="4" l="1"/>
  <c r="B16" i="4"/>
  <c r="B17" i="4" s="1"/>
  <c r="E16" i="4" l="1"/>
  <c r="E17" i="4" s="1"/>
  <c r="D16" i="4"/>
  <c r="D17" i="4" s="1"/>
  <c r="C16" i="4"/>
  <c r="C19" i="4" s="1"/>
  <c r="E19" i="4"/>
  <c r="B19" i="4"/>
  <c r="D19" i="4"/>
  <c r="B18" i="4"/>
  <c r="I8" i="4" s="1"/>
  <c r="I13" i="4" l="1"/>
  <c r="C17" i="4"/>
  <c r="E9" i="1" l="1"/>
  <c r="E8" i="1"/>
  <c r="E10" i="1"/>
  <c r="E7" i="1"/>
  <c r="D13" i="1"/>
  <c r="D12" i="1"/>
  <c r="E12" i="1" s="1"/>
  <c r="D11" i="1"/>
  <c r="D10" i="1"/>
  <c r="D9" i="1"/>
  <c r="D8" i="1"/>
  <c r="D7" i="1"/>
  <c r="N26" i="1" s="1"/>
  <c r="O12" i="1" l="1"/>
  <c r="E13" i="1"/>
  <c r="O13" i="1" s="1"/>
  <c r="E11" i="1"/>
  <c r="G11" i="1" s="1"/>
  <c r="O8" i="1"/>
  <c r="O26" i="1"/>
  <c r="G10" i="1"/>
  <c r="M10" i="1" s="1"/>
  <c r="G9" i="1"/>
  <c r="M9" i="1" s="1"/>
  <c r="O11" i="1"/>
  <c r="O9" i="1"/>
  <c r="O10" i="1"/>
  <c r="M26" i="1"/>
  <c r="O7" i="1"/>
  <c r="F13" i="1"/>
  <c r="F12" i="1"/>
  <c r="G12" i="1" s="1"/>
  <c r="F11" i="1"/>
  <c r="F10" i="1"/>
  <c r="F9" i="1"/>
  <c r="F8" i="1"/>
  <c r="G8" i="1" s="1"/>
  <c r="F7" i="1"/>
  <c r="B44" i="3"/>
  <c r="B67" i="3"/>
  <c r="B90" i="3"/>
  <c r="B113" i="3"/>
  <c r="B136" i="3"/>
  <c r="B159" i="3"/>
  <c r="B21" i="3"/>
  <c r="M8" i="1" l="1"/>
  <c r="N8" i="1"/>
  <c r="M11" i="1"/>
  <c r="N11" i="1"/>
  <c r="M12" i="1"/>
  <c r="N12" i="1"/>
  <c r="O24" i="1"/>
  <c r="N24" i="1"/>
  <c r="M24" i="1"/>
  <c r="N9" i="1"/>
  <c r="O18" i="1"/>
  <c r="O25" i="1" s="1"/>
  <c r="O23" i="1" s="1"/>
  <c r="O16" i="1"/>
  <c r="O20" i="1"/>
  <c r="O19" i="1"/>
  <c r="O17" i="1"/>
  <c r="O15" i="1"/>
  <c r="N10" i="1"/>
  <c r="G13" i="1"/>
  <c r="G7" i="1"/>
  <c r="B158" i="3"/>
  <c r="B155" i="3"/>
  <c r="B156" i="3" s="1"/>
  <c r="B157" i="3" s="1"/>
  <c r="B135" i="3"/>
  <c r="B132" i="3"/>
  <c r="B133" i="3" s="1"/>
  <c r="B134" i="3" s="1"/>
  <c r="B112" i="3"/>
  <c r="B109" i="3"/>
  <c r="B110" i="3" s="1"/>
  <c r="B111" i="3" s="1"/>
  <c r="B89" i="3"/>
  <c r="B86" i="3"/>
  <c r="B66" i="3"/>
  <c r="B63" i="3"/>
  <c r="B64" i="3" s="1"/>
  <c r="B65" i="3" s="1"/>
  <c r="N13" i="1" l="1"/>
  <c r="M13" i="1"/>
  <c r="M7" i="1"/>
  <c r="N7" i="1"/>
  <c r="N20" i="1"/>
  <c r="N19" i="1"/>
  <c r="N17" i="1"/>
  <c r="N15" i="1"/>
  <c r="N18" i="1"/>
  <c r="N23" i="1" s="1"/>
  <c r="N25" i="1" s="1"/>
  <c r="N27" i="1" s="1"/>
  <c r="N16" i="1"/>
  <c r="M19" i="1"/>
  <c r="M18" i="1"/>
  <c r="M23" i="1" s="1"/>
  <c r="M25" i="1" s="1"/>
  <c r="M27" i="1" s="1"/>
  <c r="M15" i="1"/>
  <c r="M16" i="1"/>
  <c r="M20" i="1"/>
  <c r="M17" i="1"/>
  <c r="O27" i="1"/>
  <c r="B87" i="3"/>
  <c r="B88" i="3" s="1"/>
  <c r="B17" i="3" l="1"/>
  <c r="B18" i="3" s="1"/>
  <c r="B19" i="3" s="1"/>
  <c r="B40" i="3"/>
  <c r="B43" i="3"/>
  <c r="B41" i="3" l="1"/>
  <c r="B42" i="3" s="1"/>
  <c r="B20" i="3"/>
</calcChain>
</file>

<file path=xl/sharedStrings.xml><?xml version="1.0" encoding="utf-8"?>
<sst xmlns="http://schemas.openxmlformats.org/spreadsheetml/2006/main" count="386" uniqueCount="89">
  <si>
    <t>COMPARABLE COMPANY ANALYSIS</t>
  </si>
  <si>
    <t>Company</t>
  </si>
  <si>
    <t>Ticker</t>
  </si>
  <si>
    <t>Share Price</t>
  </si>
  <si>
    <t xml:space="preserve">Shares outstanding </t>
  </si>
  <si>
    <t>Equity Value</t>
  </si>
  <si>
    <t>Net Debt</t>
  </si>
  <si>
    <t>Enterprise Value</t>
  </si>
  <si>
    <t>Market Data</t>
  </si>
  <si>
    <t>Revenue</t>
  </si>
  <si>
    <t>EBITDA</t>
  </si>
  <si>
    <t>Net Income</t>
  </si>
  <si>
    <t>Valuation</t>
  </si>
  <si>
    <t>EV/EBITDA</t>
  </si>
  <si>
    <t>EV/REVENUE</t>
  </si>
  <si>
    <t>P/E</t>
  </si>
  <si>
    <t>Financials</t>
  </si>
  <si>
    <t>Aarti Industries Limited</t>
  </si>
  <si>
    <t>Vinati Organics Limited</t>
  </si>
  <si>
    <t>Galaxy Surfactants  Limited</t>
  </si>
  <si>
    <t>Balaji Amines limited</t>
  </si>
  <si>
    <t>Deepak Nitrite Limited</t>
  </si>
  <si>
    <t>Navin Floride international Limited</t>
  </si>
  <si>
    <t>SRF Limited</t>
  </si>
  <si>
    <t>75th Percentile</t>
  </si>
  <si>
    <t>Average</t>
  </si>
  <si>
    <t>Median</t>
  </si>
  <si>
    <t>25th percentile</t>
  </si>
  <si>
    <t>High</t>
  </si>
  <si>
    <t>Low</t>
  </si>
  <si>
    <t>SRF Valuation</t>
  </si>
  <si>
    <t>Implied Market value</t>
  </si>
  <si>
    <t>Implied Value per share</t>
  </si>
  <si>
    <t>Implied Enterprise Value</t>
  </si>
  <si>
    <t>Shares Outstanding</t>
  </si>
  <si>
    <t>NET DEBT</t>
  </si>
  <si>
    <t>REVENUE</t>
  </si>
  <si>
    <t>SRF</t>
  </si>
  <si>
    <t>NAVINFLUOR</t>
  </si>
  <si>
    <t>DEEPAKNTR</t>
  </si>
  <si>
    <t>AARTIIND</t>
  </si>
  <si>
    <t>VINATIORGA</t>
  </si>
  <si>
    <t>GALAXYSURF</t>
  </si>
  <si>
    <t>BALAMINES</t>
  </si>
  <si>
    <t>SRF LIMITED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</si>
  <si>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</si>
  <si>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</si>
  <si>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</si>
  <si>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</si>
  <si>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</si>
  <si>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</si>
  <si>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</si>
  <si>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</si>
  <si>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PROFIT &amp; LOSS</t>
  </si>
  <si>
    <t>Depreciation</t>
  </si>
  <si>
    <t>Interest</t>
  </si>
  <si>
    <t>Tax</t>
  </si>
  <si>
    <t>EBT</t>
  </si>
  <si>
    <t>NET INCOME/ PAT</t>
  </si>
  <si>
    <t>AARTI INDUSTRIES LTD</t>
  </si>
  <si>
    <t>BALAJI AMINES LTD</t>
  </si>
  <si>
    <t>DEEPAK NITRITE LTD</t>
  </si>
  <si>
    <t>GALAXY SURFACTANTS LTD</t>
  </si>
  <si>
    <t>NAVIN FLUORINE INTERNATIONAL LTD</t>
  </si>
  <si>
    <t>VINATI ORGANICS LTD</t>
  </si>
  <si>
    <t>Borrowings</t>
  </si>
  <si>
    <t>Cash &amp; Bank</t>
  </si>
  <si>
    <t>HISTORICAL REVENUE CAGR-3 YR (FY22-FY25)</t>
  </si>
  <si>
    <t>CAGR</t>
  </si>
  <si>
    <t>PAT</t>
  </si>
  <si>
    <t>PAT MARGIN</t>
  </si>
  <si>
    <t>EBITDA MARGIN</t>
  </si>
  <si>
    <t>Years</t>
  </si>
  <si>
    <t>COMPANY</t>
  </si>
  <si>
    <t>HISTORICAL EBITDA MARGINS (FY22-FY25)</t>
  </si>
  <si>
    <t>EBITDA MARGINS</t>
  </si>
  <si>
    <t>HISTORICAL PAT MARGINS (FY22-FY25)</t>
  </si>
  <si>
    <t>PAT MARGINS</t>
  </si>
  <si>
    <t>FY26 - FY27 GROWTH RATE PROJECTION</t>
  </si>
  <si>
    <t>GROWTH RATE</t>
  </si>
  <si>
    <t>FY26 - FY27 REVENUE PROJECTION</t>
  </si>
  <si>
    <t xml:space="preserve">FY26 </t>
  </si>
  <si>
    <t>FY27</t>
  </si>
  <si>
    <t>FY26 - FY27 EBITDA PROJECTION</t>
  </si>
  <si>
    <t>FY26 - FY27 PAT PROJECTION</t>
  </si>
  <si>
    <t>FORWARD EV/EBITDA</t>
  </si>
  <si>
    <t>FORWARD EV/REVENUE</t>
  </si>
  <si>
    <t>FORWARD P/E</t>
  </si>
  <si>
    <t>ACTUAL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</si>
</sst>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mmm\-yy;@"/>
    <numFmt numFmtId="165" formatCode="0.00&quot;x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medium">
        <color theme="4" tint="-0.249977111117893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medium">
        <color theme="4" tint="-0.249977111117893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3" fontId="5" fillId="0" borderId="0" xfId="1" applyFont="1" applyBorder="1"/>
    <xf numFmtId="43" fontId="0" fillId="0" borderId="0" xfId="1" applyFont="1" applyBorder="1"/>
    <xf numFmtId="164" fontId="1" fillId="2" borderId="0" xfId="0" applyNumberFormat="1" applyFont="1" applyFill="1" applyAlignment="1">
      <alignment horizontal="center"/>
    </xf>
    <xf numFmtId="43" fontId="5" fillId="0" borderId="0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5" fillId="3" borderId="0" xfId="1" applyFon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43" fontId="1" fillId="2" borderId="0" xfId="1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10" fontId="2" fillId="3" borderId="0" xfId="0" applyNumberFormat="1" applyFont="1" applyFill="1" applyAlignment="1">
      <alignment horizontal="center"/>
    </xf>
    <xf numFmtId="43" fontId="2" fillId="3" borderId="0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43" fontId="1" fillId="2" borderId="0" xfId="1" applyFont="1" applyFill="1" applyBorder="1" applyAlignment="1">
      <alignment horizontal="center"/>
    </xf>
    <xf numFmtId="43" fontId="1" fillId="2" borderId="0" xfId="1" applyFont="1" applyFill="1" applyBorder="1" applyAlignment="1">
      <alignment horizontal="center" wrapText="1"/>
    </xf>
    <xf numFmtId="2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55EB-0A02-4042-902F-6FBD403CE11D}">
  <dimension ref="A1:R27"/>
  <sheetViews>
    <sheetView tabSelected="1" topLeftCell="A5" zoomScale="76" zoomScaleNormal="63" workbookViewId="0">
      <pane xSplit="1" topLeftCell="M1" activePane="topRight" state="frozen"/>
      <selection pane="topRight" activeCell="D23" sqref="D23"/>
    </sheetView>
  </sheetViews>
  <sheetFormatPr defaultRowHeight="14.5" x14ac:dyDescent="0.35"/>
  <cols>
    <col min="1" max="1" width="56.81640625" style="1" bestFit="1" customWidth="1"/>
    <col min="2" max="2" width="11.6328125" style="1" bestFit="1" customWidth="1"/>
    <col min="3" max="3" width="7.1796875" style="1" bestFit="1" customWidth="1"/>
    <col min="4" max="4" width="17.54296875" style="1" bestFit="1" customWidth="1"/>
    <col min="5" max="5" width="11.26953125" style="1" bestFit="1" customWidth="1"/>
    <col min="6" max="6" width="8.453125" style="1" bestFit="1" customWidth="1"/>
    <col min="7" max="7" width="14.7265625" style="1" bestFit="1" customWidth="1"/>
    <col min="8" max="8" width="8.7265625" style="1"/>
    <col min="9" max="9" width="9.26953125" style="1" bestFit="1" customWidth="1"/>
    <col min="10" max="10" width="8.26953125" style="1" bestFit="1" customWidth="1"/>
    <col min="11" max="11" width="10.54296875" style="1" bestFit="1" customWidth="1"/>
    <col min="12" max="12" width="8.7265625" style="1"/>
    <col min="13" max="13" width="19.26953125" style="1" bestFit="1" customWidth="1"/>
    <col min="14" max="14" width="21.08984375" style="1" bestFit="1" customWidth="1"/>
    <col min="15" max="15" width="13" style="1" bestFit="1" customWidth="1"/>
    <col min="16" max="16384" width="8.7265625" style="1"/>
  </cols>
  <sheetData>
    <row r="1" spans="1:16" ht="26.5" thickBot="1" x14ac:dyDescent="0.65">
      <c r="A1" s="2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3" spans="1:16" x14ac:dyDescent="0.35">
      <c r="A3" s="2"/>
      <c r="B3" s="2"/>
      <c r="C3" s="29" t="s">
        <v>8</v>
      </c>
      <c r="D3" s="29"/>
      <c r="E3" s="29"/>
      <c r="F3" s="29"/>
      <c r="G3" s="29"/>
      <c r="H3" s="2"/>
      <c r="I3" s="29" t="s">
        <v>16</v>
      </c>
      <c r="J3" s="29"/>
      <c r="K3" s="29"/>
      <c r="L3" s="2"/>
      <c r="M3" s="29" t="s">
        <v>12</v>
      </c>
      <c r="N3" s="29"/>
      <c r="O3" s="29"/>
    </row>
    <row r="4" spans="1:16" x14ac:dyDescent="0.3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ht="29" x14ac:dyDescent="0.35">
      <c r="A5" s="5" t="s">
        <v>1</v>
      </c>
      <c r="B5" s="5" t="s">
        <v>2</v>
      </c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5"/>
      <c r="I5" s="7" t="s">
        <v>9</v>
      </c>
      <c r="J5" s="7" t="s">
        <v>10</v>
      </c>
      <c r="K5" s="7" t="s">
        <v>11</v>
      </c>
      <c r="L5" s="5"/>
      <c r="M5" s="7" t="s">
        <v>85</v>
      </c>
      <c r="N5" s="7" t="s">
        <v>86</v>
      </c>
      <c r="O5" s="7" t="s">
        <v>87</v>
      </c>
    </row>
    <row r="6" spans="1:16" x14ac:dyDescent="0.35">
      <c r="A6" s="2"/>
      <c r="B6" s="2"/>
      <c r="C6" s="3"/>
      <c r="D6" s="4"/>
      <c r="E6" s="4"/>
      <c r="F6" s="4"/>
      <c r="G6" s="4"/>
      <c r="H6" s="2"/>
      <c r="I6" s="4"/>
      <c r="J6" s="4"/>
      <c r="K6" s="4"/>
      <c r="L6" s="2"/>
      <c r="M6" s="4"/>
      <c r="N6" s="4"/>
      <c r="O6" s="4"/>
    </row>
    <row r="7" spans="1:16" x14ac:dyDescent="0.35">
      <c r="A7" s="1" t="s">
        <v>23</v>
      </c>
      <c r="B7" s="1" t="s">
        <v>37</v>
      </c>
      <c r="C7" s="1">
        <v>2736.8</v>
      </c>
      <c r="D7" s="20">
        <f>297444825/10000000</f>
        <v>29.7444825</v>
      </c>
      <c r="E7" s="20">
        <f>C7*D7</f>
        <v>81404.699705999999</v>
      </c>
      <c r="F7" s="1">
        <f>DATA!B21</f>
        <v>3008.12</v>
      </c>
      <c r="G7" s="20">
        <f>E7+F7</f>
        <v>84412.819705999995</v>
      </c>
      <c r="I7" s="20">
        <f>'FORWARD No- FY26, FY27'!I24</f>
        <v>15786.51</v>
      </c>
      <c r="J7" s="20">
        <f>'FORWARD No- FY26, FY27'!I30</f>
        <v>3544.6194290351159</v>
      </c>
      <c r="K7" s="20">
        <f>'FORWARD No- FY26, FY27'!I36</f>
        <v>1835.18</v>
      </c>
      <c r="M7" s="21">
        <f>G7/J7</f>
        <v>23.814353387149968</v>
      </c>
      <c r="N7" s="21">
        <f>G7/I7</f>
        <v>5.3471489078966785</v>
      </c>
      <c r="O7" s="21">
        <f>E7/K7</f>
        <v>44.35788299022439</v>
      </c>
    </row>
    <row r="8" spans="1:16" x14ac:dyDescent="0.35">
      <c r="A8" s="1" t="s">
        <v>21</v>
      </c>
      <c r="B8" s="1" t="s">
        <v>39</v>
      </c>
      <c r="C8" s="1">
        <v>1714.8</v>
      </c>
      <c r="D8" s="20">
        <f>136393041/10000000</f>
        <v>13.6393041</v>
      </c>
      <c r="E8" s="20">
        <f t="shared" ref="E8:E13" si="0">C8*D8</f>
        <v>23388.678670680001</v>
      </c>
      <c r="F8" s="1">
        <f>DATA!B90</f>
        <v>860.45</v>
      </c>
      <c r="G8" s="20">
        <f t="shared" ref="G8:G13" si="1">E8+F8</f>
        <v>24249.128670680002</v>
      </c>
      <c r="I8" s="20">
        <f>'FORWARD No- FY26, FY27'!J24</f>
        <v>7887.07</v>
      </c>
      <c r="J8" s="20">
        <f>'FORWARD No- FY26, FY27'!J30</f>
        <v>1225.7417889835053</v>
      </c>
      <c r="K8" s="20">
        <f>'FORWARD No- FY26, FY27'!J36</f>
        <v>550.66</v>
      </c>
      <c r="M8" s="21">
        <f t="shared" ref="M8:M13" si="2">G8/J8</f>
        <v>19.783227502416757</v>
      </c>
      <c r="N8" s="21">
        <f t="shared" ref="N8:N13" si="3">G8/I8</f>
        <v>3.0745420885931027</v>
      </c>
      <c r="O8" s="21">
        <f t="shared" ref="O8:O13" si="4">E8/K8</f>
        <v>42.473901628373227</v>
      </c>
    </row>
    <row r="9" spans="1:16" x14ac:dyDescent="0.35">
      <c r="A9" s="1" t="s">
        <v>17</v>
      </c>
      <c r="B9" s="1" t="s">
        <v>40</v>
      </c>
      <c r="C9" s="1">
        <v>500.75</v>
      </c>
      <c r="D9" s="20">
        <f>362519910/10000000</f>
        <v>36.251990999999997</v>
      </c>
      <c r="E9" s="20">
        <f>C9*D9</f>
        <v>18153.184493249999</v>
      </c>
      <c r="F9" s="1">
        <f>DATA!B44</f>
        <v>3552.8199999999997</v>
      </c>
      <c r="G9" s="20">
        <f>E9+F9</f>
        <v>21706.004493249999</v>
      </c>
      <c r="I9" s="20">
        <f>'FORWARD No- FY26, FY27'!K24</f>
        <v>8286.1</v>
      </c>
      <c r="J9" s="20">
        <f>'FORWARD No- FY26, FY27'!K30</f>
        <v>1397.1909114198138</v>
      </c>
      <c r="K9" s="20">
        <f>'FORWARD No- FY26, FY27'!K36</f>
        <v>419.06</v>
      </c>
      <c r="M9" s="21">
        <f>G9/J9</f>
        <v>15.535460698919476</v>
      </c>
      <c r="N9" s="21">
        <f t="shared" si="3"/>
        <v>2.6195682520425772</v>
      </c>
      <c r="O9" s="21">
        <f t="shared" si="4"/>
        <v>43.318819484679999</v>
      </c>
    </row>
    <row r="10" spans="1:16" x14ac:dyDescent="0.35">
      <c r="A10" s="1" t="s">
        <v>18</v>
      </c>
      <c r="B10" s="1" t="s">
        <v>41</v>
      </c>
      <c r="C10" s="1">
        <v>1325.2</v>
      </c>
      <c r="D10" s="20">
        <f>103665632/10000000</f>
        <v>10.3665632</v>
      </c>
      <c r="E10" s="20">
        <f t="shared" si="0"/>
        <v>13737.76955264</v>
      </c>
      <c r="F10" s="1">
        <f>DATA!B159</f>
        <v>59.11</v>
      </c>
      <c r="G10" s="20">
        <f t="shared" si="1"/>
        <v>13796.879552640001</v>
      </c>
      <c r="I10" s="20">
        <f>'FORWARD No- FY26, FY27'!L24</f>
        <v>2226.89</v>
      </c>
      <c r="J10" s="20">
        <f>'FORWARD No- FY26, FY27'!L30</f>
        <v>593.03051989385051</v>
      </c>
      <c r="K10" s="20">
        <f>'FORWARD No- FY26, FY27'!L36</f>
        <v>443.74</v>
      </c>
      <c r="M10" s="21">
        <f t="shared" si="2"/>
        <v>23.265041325545223</v>
      </c>
      <c r="N10" s="21">
        <f t="shared" si="3"/>
        <v>6.1955819787416537</v>
      </c>
      <c r="O10" s="21">
        <f t="shared" si="4"/>
        <v>30.959051590210482</v>
      </c>
    </row>
    <row r="11" spans="1:16" x14ac:dyDescent="0.35">
      <c r="A11" s="1" t="s">
        <v>19</v>
      </c>
      <c r="B11" s="1" t="s">
        <v>42</v>
      </c>
      <c r="C11" s="1">
        <v>1822.8</v>
      </c>
      <c r="D11" s="20">
        <f>35454752/10000000</f>
        <v>3.5454751999999998</v>
      </c>
      <c r="E11" s="20">
        <f t="shared" si="0"/>
        <v>6462.6921945599997</v>
      </c>
      <c r="F11" s="1">
        <f>DATA!B113</f>
        <v>-5.5600000000000023</v>
      </c>
      <c r="G11" s="20">
        <f t="shared" si="1"/>
        <v>6457.1321945599993</v>
      </c>
      <c r="I11" s="20">
        <f>'FORWARD No- FY26, FY27'!M24</f>
        <v>5248.28</v>
      </c>
      <c r="J11" s="20">
        <f>'FORWARD No- FY26, FY27'!M30</f>
        <v>524.18715382842436</v>
      </c>
      <c r="K11" s="20">
        <f>'FORWARD No- FY26, FY27'!M36</f>
        <v>267.38</v>
      </c>
      <c r="M11" s="21">
        <f t="shared" si="2"/>
        <v>12.318371687287728</v>
      </c>
      <c r="N11" s="21">
        <f t="shared" si="3"/>
        <v>1.2303330223539901</v>
      </c>
      <c r="O11" s="21">
        <f t="shared" si="4"/>
        <v>24.170439803126637</v>
      </c>
    </row>
    <row r="12" spans="1:16" x14ac:dyDescent="0.35">
      <c r="A12" s="1" t="s">
        <v>20</v>
      </c>
      <c r="B12" s="1" t="s">
        <v>43</v>
      </c>
      <c r="C12" s="1">
        <v>1821</v>
      </c>
      <c r="D12" s="20">
        <f>32401000/10000000</f>
        <v>3.2401</v>
      </c>
      <c r="E12" s="20">
        <f t="shared" si="0"/>
        <v>5900.2221</v>
      </c>
      <c r="F12" s="1">
        <f>DATA!B67</f>
        <v>-342.5</v>
      </c>
      <c r="G12" s="20">
        <f t="shared" si="1"/>
        <v>5557.7221</v>
      </c>
      <c r="I12" s="20">
        <f>'FORWARD No- FY26, FY27'!N24</f>
        <v>1428.98</v>
      </c>
      <c r="J12" s="20">
        <f>'FORWARD No- FY26, FY27'!N30</f>
        <v>300.95371187423046</v>
      </c>
      <c r="K12" s="20">
        <f>'FORWARD No- FY26, FY27'!N36</f>
        <v>169.16</v>
      </c>
      <c r="M12" s="21">
        <f t="shared" si="2"/>
        <v>18.467032904789658</v>
      </c>
      <c r="N12" s="21">
        <f t="shared" si="3"/>
        <v>3.8892931321642008</v>
      </c>
      <c r="O12" s="21">
        <f>E12/K12</f>
        <v>34.879534759990541</v>
      </c>
    </row>
    <row r="13" spans="1:16" x14ac:dyDescent="0.35">
      <c r="A13" s="1" t="s">
        <v>22</v>
      </c>
      <c r="B13" s="1" t="s">
        <v>38</v>
      </c>
      <c r="C13" s="1">
        <v>7244.5</v>
      </c>
      <c r="D13" s="20">
        <f>49590125/10000000</f>
        <v>4.9590125</v>
      </c>
      <c r="E13" s="20">
        <f t="shared" si="0"/>
        <v>35925.566056249998</v>
      </c>
      <c r="F13" s="1">
        <f>DATA!B136</f>
        <v>1425.8700000000001</v>
      </c>
      <c r="G13" s="20">
        <f t="shared" si="1"/>
        <v>37351.436056250001</v>
      </c>
      <c r="I13" s="20">
        <f>'FORWARD No- FY26, FY27'!O24</f>
        <v>3313.9</v>
      </c>
      <c r="J13" s="20">
        <f>'FORWARD No- FY26, FY27'!O30</f>
        <v>742.70594007102045</v>
      </c>
      <c r="K13" s="20">
        <f>'FORWARD No- FY26, FY27'!O36</f>
        <v>663.54</v>
      </c>
      <c r="M13" s="21">
        <f t="shared" si="2"/>
        <v>50.29101565106415</v>
      </c>
      <c r="N13" s="21">
        <f t="shared" si="3"/>
        <v>11.271141572241167</v>
      </c>
      <c r="O13" s="21">
        <f t="shared" si="4"/>
        <v>54.142276360505775</v>
      </c>
    </row>
    <row r="15" spans="1:16" x14ac:dyDescent="0.35">
      <c r="A15" s="8" t="s">
        <v>28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9">
        <f>MAX(M8:M12)</f>
        <v>23.265041325545223</v>
      </c>
      <c r="N15" s="19">
        <f>MAX(N8:N12)</f>
        <v>6.1955819787416537</v>
      </c>
      <c r="O15" s="19">
        <f>MAX(O8:O12)</f>
        <v>43.318819484679999</v>
      </c>
      <c r="P15" s="21"/>
    </row>
    <row r="16" spans="1:16" x14ac:dyDescent="0.35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9">
        <f>QUARTILE(M8:M12,3)</f>
        <v>19.783227502416757</v>
      </c>
      <c r="N16" s="19">
        <f>QUARTILE(N8:N12,3)</f>
        <v>3.8892931321642008</v>
      </c>
      <c r="O16" s="19">
        <f>QUARTILE(O8:O12,3)</f>
        <v>42.473901628373227</v>
      </c>
    </row>
    <row r="17" spans="1:18" x14ac:dyDescent="0.35">
      <c r="A17" s="9" t="s">
        <v>25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22">
        <f>AVERAGE(M8:M12)</f>
        <v>17.873826823791767</v>
      </c>
      <c r="N17" s="22">
        <f>AVERAGE(N8:N12)</f>
        <v>3.401863694779105</v>
      </c>
      <c r="O17" s="22">
        <f>AVERAGE(O8:O12)</f>
        <v>35.160349453276176</v>
      </c>
      <c r="P17" s="21"/>
    </row>
    <row r="18" spans="1:18" x14ac:dyDescent="0.35">
      <c r="A18" s="9" t="s">
        <v>26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22">
        <f>MEDIAN(M8:M12)</f>
        <v>18.467032904789658</v>
      </c>
      <c r="N18" s="22">
        <f>MEDIAN(N8:N12)</f>
        <v>3.0745420885931027</v>
      </c>
      <c r="O18" s="22">
        <f>MEDIAN(O8:O12)</f>
        <v>34.879534759990541</v>
      </c>
      <c r="P18" s="21"/>
      <c r="Q18" s="21"/>
      <c r="R18" s="21"/>
    </row>
    <row r="19" spans="1:18" x14ac:dyDescent="0.35">
      <c r="A19" s="8" t="s">
        <v>27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9">
        <f>QUARTILE(M8:M12,1)</f>
        <v>15.535460698919476</v>
      </c>
      <c r="N19" s="19">
        <f>QUARTILE(N8:N12,1)</f>
        <v>2.6195682520425772</v>
      </c>
      <c r="O19" s="19">
        <f>QUARTILE(O8:O12,1)</f>
        <v>30.959051590210482</v>
      </c>
    </row>
    <row r="20" spans="1:18" x14ac:dyDescent="0.35">
      <c r="A20" s="8" t="s">
        <v>29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9">
        <f>MIN(M8:M12)</f>
        <v>12.318371687287728</v>
      </c>
      <c r="N20" s="19">
        <f>MIN(N8:N12)</f>
        <v>1.2303330223539901</v>
      </c>
      <c r="O20" s="19">
        <f>MIN(O8:O12)</f>
        <v>24.170439803126637</v>
      </c>
    </row>
    <row r="22" spans="1:18" x14ac:dyDescent="0.3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 t="s">
        <v>13</v>
      </c>
      <c r="N22" s="7" t="s">
        <v>14</v>
      </c>
      <c r="O22" s="7" t="s">
        <v>15</v>
      </c>
    </row>
    <row r="23" spans="1:18" x14ac:dyDescent="0.35">
      <c r="A23" s="1" t="s">
        <v>33</v>
      </c>
      <c r="M23" s="20">
        <f>M18*J7</f>
        <v>65458.603630948215</v>
      </c>
      <c r="N23" s="20">
        <f>N18*I7</f>
        <v>48536.2894269959</v>
      </c>
      <c r="O23" s="20">
        <f>O24+O25</f>
        <v>67018.344600839438</v>
      </c>
    </row>
    <row r="24" spans="1:18" x14ac:dyDescent="0.35">
      <c r="A24" s="1" t="s">
        <v>6</v>
      </c>
      <c r="M24" s="20">
        <f>F7</f>
        <v>3008.12</v>
      </c>
      <c r="N24" s="20">
        <f>F7</f>
        <v>3008.12</v>
      </c>
      <c r="O24" s="1">
        <f>F7</f>
        <v>3008.12</v>
      </c>
    </row>
    <row r="25" spans="1:18" x14ac:dyDescent="0.35">
      <c r="A25" s="1" t="s">
        <v>31</v>
      </c>
      <c r="M25" s="20">
        <f>M23-M24</f>
        <v>62450.483630948213</v>
      </c>
      <c r="N25" s="20">
        <f>N23-N24</f>
        <v>45528.169426995897</v>
      </c>
      <c r="O25" s="20">
        <f>O18*K7</f>
        <v>64010.224600839443</v>
      </c>
    </row>
    <row r="26" spans="1:18" x14ac:dyDescent="0.35">
      <c r="A26" s="1" t="s">
        <v>34</v>
      </c>
      <c r="M26" s="20">
        <f>D7</f>
        <v>29.7444825</v>
      </c>
      <c r="N26" s="20">
        <f>D7</f>
        <v>29.7444825</v>
      </c>
      <c r="O26" s="20">
        <f>D7</f>
        <v>29.7444825</v>
      </c>
    </row>
    <row r="27" spans="1:18" x14ac:dyDescent="0.35">
      <c r="A27" s="10" t="s">
        <v>32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24">
        <f>M25/M26</f>
        <v>2099.5653103377481</v>
      </c>
      <c r="N27" s="24">
        <f>N25/N26</f>
        <v>1530.642512506173</v>
      </c>
      <c r="O27" s="24">
        <f>O25/O26</f>
        <v>2152.0033034980333</v>
      </c>
    </row>
  </sheetData>
  <mergeCells count="3">
    <mergeCell ref="I3:K3"/>
    <mergeCell ref="M3:O3"/>
    <mergeCell ref="C3:G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506A-A428-45C0-BD4C-64C73C939F54}">
  <dimension ref="A1:O151"/>
  <sheetViews>
    <sheetView topLeftCell="G16" zoomScale="83" workbookViewId="0">
      <selection activeCell="O20" sqref="O20"/>
    </sheetView>
  </sheetViews>
  <sheetFormatPr defaultRowHeight="14.5" x14ac:dyDescent="0.35"/>
  <cols>
    <col min="1" max="1" width="18.54296875" style="1" bestFit="1" customWidth="1"/>
    <col min="2" max="2" width="7.81640625" style="1" bestFit="1" customWidth="1"/>
    <col min="3" max="5" width="8.81640625" style="1" bestFit="1" customWidth="1"/>
    <col min="6" max="7" width="8.7265625" style="1"/>
    <col min="8" max="8" width="15.453125" style="1" bestFit="1" customWidth="1"/>
    <col min="9" max="9" width="11.81640625" style="1" bestFit="1" customWidth="1"/>
    <col min="10" max="11" width="10.81640625" style="1" bestFit="1" customWidth="1"/>
    <col min="12" max="12" width="11.36328125" style="1" bestFit="1" customWidth="1"/>
    <col min="13" max="13" width="11.453125" style="1" bestFit="1" customWidth="1"/>
    <col min="14" max="14" width="10.81640625" style="1" bestFit="1" customWidth="1"/>
    <col min="15" max="15" width="11.6328125" style="1" bestFit="1" customWidth="1"/>
    <col min="16" max="16384" width="8.7265625" style="1"/>
  </cols>
  <sheetData>
    <row r="1" spans="1:15" x14ac:dyDescent="0.35">
      <c r="A1" s="30" t="s">
        <v>44</v>
      </c>
      <c r="B1" s="30"/>
      <c r="C1" s="30"/>
      <c r="D1" s="30"/>
      <c r="E1" s="30"/>
      <c r="H1" s="30" t="s">
        <v>67</v>
      </c>
      <c r="I1" s="30"/>
      <c r="J1" s="30"/>
      <c r="K1" s="30"/>
      <c r="L1" s="30"/>
      <c r="M1" s="30"/>
      <c r="N1" s="30"/>
      <c r="O1" s="30"/>
    </row>
    <row r="2" spans="1:15" x14ac:dyDescent="0.35">
      <c r="A2" s="25" t="s">
        <v>72</v>
      </c>
      <c r="B2" s="15">
        <v>44651</v>
      </c>
      <c r="C2" s="15">
        <v>45016</v>
      </c>
      <c r="D2" s="15">
        <v>45382</v>
      </c>
      <c r="E2" s="15">
        <v>45747</v>
      </c>
      <c r="H2" s="5" t="s">
        <v>73</v>
      </c>
      <c r="I2" s="5" t="s">
        <v>37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38</v>
      </c>
    </row>
    <row r="3" spans="1:15" x14ac:dyDescent="0.35">
      <c r="A3" s="1" t="s">
        <v>9</v>
      </c>
      <c r="B3" s="1">
        <v>9953.44</v>
      </c>
      <c r="C3" s="1">
        <v>12073.84</v>
      </c>
      <c r="D3" s="1">
        <v>10786.67</v>
      </c>
      <c r="E3" s="1">
        <v>11697.97</v>
      </c>
      <c r="H3" s="9" t="s">
        <v>68</v>
      </c>
      <c r="I3" s="27">
        <f>(E3/B3)^(1/3)-1</f>
        <v>5.5307683431071508E-2</v>
      </c>
      <c r="J3" s="27">
        <f>(E69/B69)^(1/3)-1</f>
        <v>6.7810693221751928E-2</v>
      </c>
      <c r="K3" s="27">
        <f>(E25/B25)^(1/3)-1</f>
        <v>6.1138550420208881E-2</v>
      </c>
      <c r="L3" s="27">
        <f>(E135/B135)^(1/3)-1</f>
        <v>0.11643983784104051</v>
      </c>
      <c r="M3" s="27">
        <f>(E91/B91)^(1/3)-1</f>
        <v>4.6374719080233051E-2</v>
      </c>
      <c r="N3" s="27">
        <f>(E47/B47)^(1/3)-1</f>
        <v>-0.15643530458255606</v>
      </c>
      <c r="O3" s="27">
        <f>(E113/B113)^(1/3)-1</f>
        <v>0.17361780085828005</v>
      </c>
    </row>
    <row r="4" spans="1:15" x14ac:dyDescent="0.35">
      <c r="A4" s="17" t="s">
        <v>46</v>
      </c>
      <c r="B4" s="1">
        <v>4885.53</v>
      </c>
      <c r="C4" s="1">
        <v>5614.24</v>
      </c>
      <c r="D4" s="1">
        <v>5279.89</v>
      </c>
      <c r="E4" s="1">
        <v>5698.88</v>
      </c>
    </row>
    <row r="5" spans="1:15" x14ac:dyDescent="0.35">
      <c r="A5" s="17" t="s">
        <v>47</v>
      </c>
      <c r="B5" s="1">
        <v>193.25</v>
      </c>
      <c r="C5" s="1">
        <v>-21.91</v>
      </c>
      <c r="D5" s="1">
        <v>114.32</v>
      </c>
      <c r="E5" s="1">
        <v>-23.27</v>
      </c>
    </row>
    <row r="6" spans="1:15" x14ac:dyDescent="0.35">
      <c r="A6" s="17" t="s">
        <v>48</v>
      </c>
      <c r="B6" s="1">
        <v>984.23</v>
      </c>
      <c r="C6" s="1">
        <v>1230.8599999999999</v>
      </c>
      <c r="D6" s="1">
        <v>1134.9000000000001</v>
      </c>
      <c r="E6" s="1">
        <v>1127.06</v>
      </c>
      <c r="H6" s="30" t="s">
        <v>74</v>
      </c>
      <c r="I6" s="30"/>
      <c r="J6" s="30"/>
      <c r="K6" s="30"/>
      <c r="L6" s="30"/>
      <c r="M6" s="30"/>
      <c r="N6" s="30"/>
      <c r="O6" s="30"/>
    </row>
    <row r="7" spans="1:15" x14ac:dyDescent="0.35">
      <c r="A7" s="17" t="s">
        <v>49</v>
      </c>
      <c r="B7" s="1">
        <v>336.44</v>
      </c>
      <c r="C7" s="1">
        <v>371.99</v>
      </c>
      <c r="D7" s="1">
        <v>432.32</v>
      </c>
      <c r="E7" s="1">
        <v>455.86</v>
      </c>
      <c r="H7" s="5" t="s">
        <v>73</v>
      </c>
      <c r="I7" s="5" t="s">
        <v>37</v>
      </c>
      <c r="J7" s="5" t="s">
        <v>39</v>
      </c>
      <c r="K7" s="5" t="s">
        <v>40</v>
      </c>
      <c r="L7" s="5" t="s">
        <v>41</v>
      </c>
      <c r="M7" s="5" t="s">
        <v>42</v>
      </c>
      <c r="N7" s="5" t="s">
        <v>43</v>
      </c>
      <c r="O7" s="5" t="s">
        <v>38</v>
      </c>
    </row>
    <row r="8" spans="1:15" x14ac:dyDescent="0.35">
      <c r="A8" s="17" t="s">
        <v>50</v>
      </c>
      <c r="B8" s="1">
        <v>658.77</v>
      </c>
      <c r="C8" s="1">
        <v>684.46</v>
      </c>
      <c r="D8" s="1">
        <v>790.54</v>
      </c>
      <c r="E8" s="1">
        <v>869.4</v>
      </c>
      <c r="H8" s="9" t="s">
        <v>75</v>
      </c>
      <c r="I8" s="27">
        <f>AVERAGE(B18:E18)</f>
        <v>0.22453470900377068</v>
      </c>
      <c r="J8" s="27">
        <f>AVERAGE(B84:E84)</f>
        <v>0.15541155194305431</v>
      </c>
      <c r="K8" s="27">
        <f>AVERAGE(B40:E40)</f>
        <v>0.1686186398208824</v>
      </c>
      <c r="L8" s="27">
        <f>AVERAGE(B150:E150)</f>
        <v>0.26630436164060667</v>
      </c>
      <c r="M8" s="27">
        <f>AVERAGE(B106:E106)</f>
        <v>9.9877894058324701E-2</v>
      </c>
      <c r="N8" s="27">
        <f>AVERAGE(B62:E62)</f>
        <v>0.21060736460568408</v>
      </c>
      <c r="O8" s="27">
        <f>AVERAGE(B128:E128)</f>
        <v>0.22411839224811264</v>
      </c>
    </row>
    <row r="9" spans="1:15" x14ac:dyDescent="0.35">
      <c r="A9" s="17" t="s">
        <v>51</v>
      </c>
      <c r="B9" s="1">
        <v>556.23</v>
      </c>
      <c r="C9" s="1">
        <v>602.29999999999995</v>
      </c>
      <c r="D9" s="1">
        <v>520.46</v>
      </c>
      <c r="E9" s="1">
        <v>641.79999999999995</v>
      </c>
    </row>
    <row r="10" spans="1:15" x14ac:dyDescent="0.35">
      <c r="A10" s="17" t="s">
        <v>52</v>
      </c>
      <c r="B10" s="1">
        <v>192.08</v>
      </c>
      <c r="C10" s="1">
        <v>354.02</v>
      </c>
      <c r="D10" s="1">
        <v>352.97</v>
      </c>
      <c r="E10" s="1">
        <v>425.98</v>
      </c>
    </row>
    <row r="11" spans="1:15" x14ac:dyDescent="0.35">
      <c r="A11" s="16" t="s">
        <v>54</v>
      </c>
      <c r="B11" s="1">
        <v>419.23</v>
      </c>
      <c r="C11" s="1">
        <v>468.44</v>
      </c>
      <c r="D11" s="1">
        <v>555.85</v>
      </c>
      <c r="E11" s="1">
        <v>629.96</v>
      </c>
      <c r="H11" s="30" t="s">
        <v>76</v>
      </c>
      <c r="I11" s="30"/>
      <c r="J11" s="30"/>
      <c r="K11" s="30"/>
      <c r="L11" s="30"/>
      <c r="M11" s="30"/>
      <c r="N11" s="30"/>
      <c r="O11" s="30"/>
    </row>
    <row r="12" spans="1:15" x14ac:dyDescent="0.35">
      <c r="A12" s="16" t="s">
        <v>55</v>
      </c>
      <c r="B12" s="1">
        <v>94.45</v>
      </c>
      <c r="C12" s="1">
        <v>175.82</v>
      </c>
      <c r="D12" s="1">
        <v>235.6</v>
      </c>
      <c r="E12" s="1">
        <v>296.35000000000002</v>
      </c>
      <c r="H12" s="5" t="s">
        <v>73</v>
      </c>
      <c r="I12" s="5" t="s">
        <v>37</v>
      </c>
      <c r="J12" s="5" t="s">
        <v>39</v>
      </c>
      <c r="K12" s="5" t="s">
        <v>40</v>
      </c>
      <c r="L12" s="5" t="s">
        <v>41</v>
      </c>
      <c r="M12" s="5" t="s">
        <v>42</v>
      </c>
      <c r="N12" s="5" t="s">
        <v>43</v>
      </c>
      <c r="O12" s="5" t="s">
        <v>38</v>
      </c>
    </row>
    <row r="13" spans="1:15" x14ac:dyDescent="0.35">
      <c r="A13" s="16" t="s">
        <v>56</v>
      </c>
      <c r="B13" s="1">
        <v>648.03</v>
      </c>
      <c r="C13" s="1">
        <v>632.5</v>
      </c>
      <c r="D13" s="1">
        <v>343.85</v>
      </c>
      <c r="E13" s="1">
        <v>436.31</v>
      </c>
      <c r="H13" s="9" t="s">
        <v>77</v>
      </c>
      <c r="I13" s="27">
        <f>AVERAGE(B19:E19)</f>
        <v>0.19576624923102659</v>
      </c>
      <c r="J13" s="27">
        <f>AVERAGE(B85:E85)</f>
        <v>0.13597123516071469</v>
      </c>
      <c r="K13" s="27">
        <f>AVERAGE(B41:E41)</f>
        <v>0.14532952251699804</v>
      </c>
      <c r="L13" s="27">
        <f>AVERAGE(B151:E151)</f>
        <v>0.2350752780052755</v>
      </c>
      <c r="M13" s="27">
        <f>AVERAGE(B107:E107)</f>
        <v>8.1968097914219135E-2</v>
      </c>
      <c r="N13" s="27">
        <f>AVERAGE(B63:E63)</f>
        <v>0.19031593808424627</v>
      </c>
      <c r="O13" s="27">
        <f>AVERAGE(B129:E129)</f>
        <v>0.20494819835832931</v>
      </c>
    </row>
    <row r="15" spans="1:15" x14ac:dyDescent="0.35">
      <c r="A15" s="28" t="s">
        <v>10</v>
      </c>
      <c r="B15" s="9">
        <f>B3-B4-B5-B6-B7-B8-B9-B10</f>
        <v>2146.9100000000008</v>
      </c>
      <c r="C15" s="9">
        <f t="shared" ref="C15:E15" si="0">C3-C4-C5-C6-C7-C8-C9-C10</f>
        <v>3237.8800000000006</v>
      </c>
      <c r="D15" s="9">
        <f t="shared" si="0"/>
        <v>2161.2699999999995</v>
      </c>
      <c r="E15" s="9">
        <f t="shared" si="0"/>
        <v>2502.2599999999998</v>
      </c>
    </row>
    <row r="16" spans="1:15" x14ac:dyDescent="0.35">
      <c r="A16" s="28" t="s">
        <v>57</v>
      </c>
      <c r="B16" s="9">
        <f>IFERROR(B15-SUM(B11-B12),0)</f>
        <v>1822.1300000000008</v>
      </c>
      <c r="C16" s="9">
        <f t="shared" ref="C16:E16" si="1">IFERROR(C15-SUM(C11-C12),0)</f>
        <v>2945.2600000000007</v>
      </c>
      <c r="D16" s="9">
        <f t="shared" si="1"/>
        <v>1841.0199999999995</v>
      </c>
      <c r="E16" s="9">
        <f t="shared" si="1"/>
        <v>2168.6499999999996</v>
      </c>
    </row>
    <row r="17" spans="1:15" x14ac:dyDescent="0.35">
      <c r="A17" s="28" t="s">
        <v>69</v>
      </c>
      <c r="B17" s="9">
        <f>B16-B13</f>
        <v>1174.1000000000008</v>
      </c>
      <c r="C17" s="9">
        <f t="shared" ref="C17:E17" si="2">C16-C13</f>
        <v>2312.7600000000007</v>
      </c>
      <c r="D17" s="9">
        <f t="shared" si="2"/>
        <v>1497.1699999999996</v>
      </c>
      <c r="E17" s="9">
        <f t="shared" si="2"/>
        <v>1732.3399999999997</v>
      </c>
      <c r="H17" s="30" t="s">
        <v>78</v>
      </c>
      <c r="I17" s="30"/>
      <c r="J17" s="30"/>
      <c r="K17" s="30"/>
      <c r="L17" s="30"/>
      <c r="M17" s="30"/>
      <c r="N17" s="30"/>
      <c r="O17" s="30"/>
    </row>
    <row r="18" spans="1:15" x14ac:dyDescent="0.35">
      <c r="A18" s="28" t="s">
        <v>71</v>
      </c>
      <c r="B18" s="27">
        <f>(B15/B3)</f>
        <v>0.21569527721069306</v>
      </c>
      <c r="C18" s="27">
        <f>(C15/C3)</f>
        <v>0.26817317440019089</v>
      </c>
      <c r="D18" s="27">
        <f t="shared" ref="D18:E18" si="3">(D15/D3)</f>
        <v>0.20036489481925371</v>
      </c>
      <c r="E18" s="27">
        <f t="shared" si="3"/>
        <v>0.21390548958494507</v>
      </c>
      <c r="H18" s="5" t="s">
        <v>73</v>
      </c>
      <c r="I18" s="5" t="s">
        <v>37</v>
      </c>
      <c r="J18" s="5" t="s">
        <v>39</v>
      </c>
      <c r="K18" s="5" t="s">
        <v>40</v>
      </c>
      <c r="L18" s="5" t="s">
        <v>41</v>
      </c>
      <c r="M18" s="5" t="s">
        <v>42</v>
      </c>
      <c r="N18" s="5" t="s">
        <v>43</v>
      </c>
      <c r="O18" s="5" t="s">
        <v>38</v>
      </c>
    </row>
    <row r="19" spans="1:15" x14ac:dyDescent="0.35">
      <c r="A19" s="28" t="s">
        <v>70</v>
      </c>
      <c r="B19" s="27">
        <f>B16/B3</f>
        <v>0.18306535228021675</v>
      </c>
      <c r="C19" s="27">
        <f t="shared" ref="C19:E19" si="4">C16/C3</f>
        <v>0.24393730577844336</v>
      </c>
      <c r="D19" s="27">
        <f t="shared" si="4"/>
        <v>0.17067547259719631</v>
      </c>
      <c r="E19" s="27">
        <f t="shared" si="4"/>
        <v>0.18538686626824993</v>
      </c>
      <c r="H19" s="9" t="s">
        <v>79</v>
      </c>
      <c r="I19" s="27">
        <f>9%</f>
        <v>0.09</v>
      </c>
      <c r="J19" s="27">
        <v>0.06</v>
      </c>
      <c r="K19" s="27">
        <v>0.12</v>
      </c>
      <c r="L19" s="27">
        <v>0.08</v>
      </c>
      <c r="M19" s="27">
        <f>8%</f>
        <v>0.08</v>
      </c>
      <c r="N19" s="27">
        <f>10%</f>
        <v>0.1</v>
      </c>
      <c r="O19" s="27">
        <v>0.15</v>
      </c>
    </row>
    <row r="20" spans="1:15" x14ac:dyDescent="0.35">
      <c r="A20" s="26"/>
      <c r="H20" s="9" t="s">
        <v>88</v>
      </c>
      <c r="I20" s="27">
        <f>(I24/E3)-1</f>
        <v>0.34950850446701454</v>
      </c>
      <c r="J20" s="27">
        <f>(J24/E69)-1</f>
        <v>-4.7677292611746358E-2</v>
      </c>
      <c r="K20" s="27">
        <f>(K24/E25)-1</f>
        <v>0.13955925471578756</v>
      </c>
      <c r="L20" s="27">
        <f>(L24/E135)-1</f>
        <v>-9.4346336906721007E-3</v>
      </c>
      <c r="M20" s="27">
        <f>(M24/E91)-1</f>
        <v>0.2434001198793625</v>
      </c>
      <c r="N20" s="27">
        <f>(N24/E47)-1</f>
        <v>2.8931451612903336E-2</v>
      </c>
      <c r="O20" s="27">
        <f>(O24/E113)-1</f>
        <v>0.4105423558555874</v>
      </c>
    </row>
    <row r="21" spans="1:15" x14ac:dyDescent="0.35">
      <c r="A21" s="26"/>
    </row>
    <row r="22" spans="1:15" x14ac:dyDescent="0.35">
      <c r="H22" s="30" t="s">
        <v>80</v>
      </c>
      <c r="I22" s="30"/>
      <c r="J22" s="30"/>
      <c r="K22" s="30"/>
      <c r="L22" s="30"/>
      <c r="M22" s="30"/>
      <c r="N22" s="30"/>
      <c r="O22" s="30"/>
    </row>
    <row r="23" spans="1:15" x14ac:dyDescent="0.35">
      <c r="A23" s="30" t="s">
        <v>59</v>
      </c>
      <c r="B23" s="30"/>
      <c r="C23" s="30"/>
      <c r="D23" s="30"/>
      <c r="E23" s="30"/>
      <c r="H23" s="5" t="s">
        <v>73</v>
      </c>
      <c r="I23" s="5" t="s">
        <v>37</v>
      </c>
      <c r="J23" s="5" t="s">
        <v>39</v>
      </c>
      <c r="K23" s="5" t="s">
        <v>40</v>
      </c>
      <c r="L23" s="5" t="s">
        <v>41</v>
      </c>
      <c r="M23" s="5" t="s">
        <v>42</v>
      </c>
      <c r="N23" s="5" t="s">
        <v>43</v>
      </c>
      <c r="O23" s="5" t="s">
        <v>38</v>
      </c>
    </row>
    <row r="24" spans="1:15" x14ac:dyDescent="0.35">
      <c r="A24" s="25" t="s">
        <v>72</v>
      </c>
      <c r="B24" s="15">
        <v>44651</v>
      </c>
      <c r="C24" s="15">
        <v>45016</v>
      </c>
      <c r="D24" s="15">
        <v>45382</v>
      </c>
      <c r="E24" s="15">
        <v>45747</v>
      </c>
      <c r="H24" s="9" t="s">
        <v>81</v>
      </c>
      <c r="I24" s="33">
        <v>15786.51</v>
      </c>
      <c r="J24" s="33">
        <v>7887.07</v>
      </c>
      <c r="K24" s="33">
        <v>8286.1</v>
      </c>
      <c r="L24" s="33">
        <v>2226.89</v>
      </c>
      <c r="M24" s="33">
        <v>5248.28</v>
      </c>
      <c r="N24" s="33">
        <v>1428.98</v>
      </c>
      <c r="O24" s="33">
        <v>3313.9</v>
      </c>
    </row>
    <row r="25" spans="1:15" x14ac:dyDescent="0.35">
      <c r="A25" s="1" t="s">
        <v>9</v>
      </c>
      <c r="B25">
        <v>6085.51</v>
      </c>
      <c r="C25">
        <v>6618.58</v>
      </c>
      <c r="D25">
        <v>6370.8</v>
      </c>
      <c r="E25">
        <v>7271.32</v>
      </c>
      <c r="H25" s="34" t="s">
        <v>82</v>
      </c>
      <c r="I25" s="35">
        <f>I24*(1+I19)</f>
        <v>17207.295900000001</v>
      </c>
      <c r="J25" s="35">
        <f t="shared" ref="J25:O25" si="5">J24*(1+J19)</f>
        <v>8360.2942000000003</v>
      </c>
      <c r="K25" s="35">
        <f t="shared" si="5"/>
        <v>9280.4320000000007</v>
      </c>
      <c r="L25" s="35">
        <f t="shared" si="5"/>
        <v>2405.0412000000001</v>
      </c>
      <c r="M25" s="35">
        <f t="shared" si="5"/>
        <v>5668.1423999999997</v>
      </c>
      <c r="N25" s="35">
        <f t="shared" si="5"/>
        <v>1571.8780000000002</v>
      </c>
      <c r="O25" s="35">
        <f t="shared" si="5"/>
        <v>3810.9849999999997</v>
      </c>
    </row>
    <row r="26" spans="1:15" x14ac:dyDescent="0.35">
      <c r="A26" s="17" t="s">
        <v>46</v>
      </c>
      <c r="B26">
        <v>2599.63</v>
      </c>
      <c r="C26">
        <v>3195.54</v>
      </c>
      <c r="D26">
        <v>3578.8</v>
      </c>
      <c r="E26">
        <v>4166.72</v>
      </c>
    </row>
    <row r="27" spans="1:15" x14ac:dyDescent="0.35">
      <c r="A27" s="17" t="s">
        <v>47</v>
      </c>
      <c r="B27">
        <v>210.49</v>
      </c>
      <c r="C27">
        <v>-65.7</v>
      </c>
      <c r="D27">
        <v>93.57</v>
      </c>
      <c r="E27">
        <v>-54.03</v>
      </c>
    </row>
    <row r="28" spans="1:15" x14ac:dyDescent="0.35">
      <c r="A28" s="17" t="s">
        <v>48</v>
      </c>
      <c r="B28">
        <v>131.88999999999999</v>
      </c>
      <c r="C28">
        <v>160.83000000000001</v>
      </c>
      <c r="D28">
        <v>170.52</v>
      </c>
      <c r="E28">
        <v>175.61</v>
      </c>
      <c r="H28" s="30" t="s">
        <v>83</v>
      </c>
      <c r="I28" s="30"/>
      <c r="J28" s="30"/>
      <c r="K28" s="30"/>
      <c r="L28" s="30"/>
      <c r="M28" s="30"/>
      <c r="N28" s="30"/>
      <c r="O28" s="30"/>
    </row>
    <row r="29" spans="1:15" x14ac:dyDescent="0.35">
      <c r="A29" s="17" t="s">
        <v>49</v>
      </c>
      <c r="B29">
        <v>1064.42</v>
      </c>
      <c r="C29">
        <v>1272.55</v>
      </c>
      <c r="D29">
        <v>1001.49</v>
      </c>
      <c r="E29">
        <v>978.99</v>
      </c>
      <c r="H29" s="5" t="s">
        <v>73</v>
      </c>
      <c r="I29" s="5" t="s">
        <v>37</v>
      </c>
      <c r="J29" s="5" t="s">
        <v>39</v>
      </c>
      <c r="K29" s="5" t="s">
        <v>40</v>
      </c>
      <c r="L29" s="5" t="s">
        <v>41</v>
      </c>
      <c r="M29" s="5" t="s">
        <v>42</v>
      </c>
      <c r="N29" s="5" t="s">
        <v>43</v>
      </c>
      <c r="O29" s="5" t="s">
        <v>38</v>
      </c>
    </row>
    <row r="30" spans="1:15" x14ac:dyDescent="0.35">
      <c r="A30" s="17" t="s">
        <v>50</v>
      </c>
      <c r="B30">
        <v>356.96</v>
      </c>
      <c r="C30">
        <v>385.33</v>
      </c>
      <c r="D30">
        <v>403.74</v>
      </c>
      <c r="E30">
        <v>422.42</v>
      </c>
      <c r="H30" s="9" t="s">
        <v>81</v>
      </c>
      <c r="I30" s="33">
        <f>I24*I8</f>
        <v>3544.6194290351159</v>
      </c>
      <c r="J30" s="33">
        <f>J24*J8</f>
        <v>1225.7417889835053</v>
      </c>
      <c r="K30" s="33">
        <f>K24*K8</f>
        <v>1397.1909114198138</v>
      </c>
      <c r="L30" s="33">
        <f t="shared" ref="L30:O30" si="6">L24*L8</f>
        <v>593.03051989385051</v>
      </c>
      <c r="M30" s="33">
        <f t="shared" si="6"/>
        <v>524.18715382842436</v>
      </c>
      <c r="N30" s="33">
        <f t="shared" si="6"/>
        <v>300.95371187423046</v>
      </c>
      <c r="O30" s="33">
        <f t="shared" si="6"/>
        <v>742.70594007102045</v>
      </c>
    </row>
    <row r="31" spans="1:15" x14ac:dyDescent="0.35">
      <c r="A31" s="17" t="s">
        <v>51</v>
      </c>
      <c r="B31">
        <v>410.21</v>
      </c>
      <c r="C31">
        <v>432.5</v>
      </c>
      <c r="D31">
        <v>312.08</v>
      </c>
      <c r="E31">
        <v>439.44</v>
      </c>
      <c r="H31" s="34" t="s">
        <v>82</v>
      </c>
      <c r="I31" s="35">
        <f>I25*I8</f>
        <v>3863.6351776482766</v>
      </c>
      <c r="J31" s="35">
        <f t="shared" ref="J31:O31" si="7">J25*J8</f>
        <v>1299.2862963225157</v>
      </c>
      <c r="K31" s="35">
        <f>K25*K8</f>
        <v>1564.8538207901915</v>
      </c>
      <c r="L31" s="35">
        <f t="shared" si="7"/>
        <v>640.47296148535861</v>
      </c>
      <c r="M31" s="35">
        <f t="shared" si="7"/>
        <v>566.12212613469831</v>
      </c>
      <c r="N31" s="35">
        <f t="shared" si="7"/>
        <v>331.0490830616535</v>
      </c>
      <c r="O31" s="35">
        <f t="shared" si="7"/>
        <v>854.11183108167347</v>
      </c>
    </row>
    <row r="32" spans="1:15" x14ac:dyDescent="0.35">
      <c r="A32" s="17" t="s">
        <v>52</v>
      </c>
      <c r="B32">
        <v>12.78</v>
      </c>
      <c r="C32">
        <v>17.16</v>
      </c>
      <c r="D32">
        <v>19.600000000000001</v>
      </c>
      <c r="E32">
        <v>33.659999999999997</v>
      </c>
    </row>
    <row r="33" spans="1:15" x14ac:dyDescent="0.35">
      <c r="A33" s="16" t="s">
        <v>54</v>
      </c>
      <c r="B33">
        <v>246.4</v>
      </c>
      <c r="C33">
        <v>310.45</v>
      </c>
      <c r="D33">
        <v>378.12</v>
      </c>
      <c r="E33">
        <v>434.27</v>
      </c>
    </row>
    <row r="34" spans="1:15" x14ac:dyDescent="0.35">
      <c r="A34" s="16" t="s">
        <v>55</v>
      </c>
      <c r="B34">
        <v>102.33</v>
      </c>
      <c r="C34">
        <v>168.28</v>
      </c>
      <c r="D34">
        <v>211.47</v>
      </c>
      <c r="E34">
        <v>275.44</v>
      </c>
      <c r="H34" s="30" t="s">
        <v>84</v>
      </c>
      <c r="I34" s="30"/>
      <c r="J34" s="30"/>
      <c r="K34" s="30"/>
      <c r="L34" s="30"/>
      <c r="M34" s="30"/>
      <c r="N34" s="30"/>
      <c r="O34" s="30"/>
    </row>
    <row r="35" spans="1:15" x14ac:dyDescent="0.35">
      <c r="A35" s="16" t="s">
        <v>56</v>
      </c>
      <c r="B35">
        <v>186.25</v>
      </c>
      <c r="C35">
        <v>65.87</v>
      </c>
      <c r="D35">
        <v>-21.05</v>
      </c>
      <c r="E35">
        <v>-23.64</v>
      </c>
      <c r="H35" s="5" t="s">
        <v>73</v>
      </c>
      <c r="I35" s="5" t="s">
        <v>37</v>
      </c>
      <c r="J35" s="5" t="s">
        <v>39</v>
      </c>
      <c r="K35" s="5" t="s">
        <v>40</v>
      </c>
      <c r="L35" s="5" t="s">
        <v>41</v>
      </c>
      <c r="M35" s="5" t="s">
        <v>42</v>
      </c>
      <c r="N35" s="5" t="s">
        <v>43</v>
      </c>
      <c r="O35" s="5" t="s">
        <v>38</v>
      </c>
    </row>
    <row r="36" spans="1:15" x14ac:dyDescent="0.35">
      <c r="H36" s="9" t="s">
        <v>81</v>
      </c>
      <c r="I36" s="33">
        <v>1835.18</v>
      </c>
      <c r="J36" s="33">
        <v>550.66</v>
      </c>
      <c r="K36" s="33">
        <v>419.06</v>
      </c>
      <c r="L36" s="33">
        <v>443.74</v>
      </c>
      <c r="M36" s="33">
        <v>267.38</v>
      </c>
      <c r="N36" s="33">
        <v>169.16</v>
      </c>
      <c r="O36" s="33">
        <v>663.54</v>
      </c>
    </row>
    <row r="37" spans="1:15" x14ac:dyDescent="0.35">
      <c r="A37" s="28" t="s">
        <v>10</v>
      </c>
      <c r="B37" s="9">
        <f>B25-B26-B27-B28-B29-B30-B31-B32</f>
        <v>1299.1300000000003</v>
      </c>
      <c r="C37" s="9">
        <f t="shared" ref="C37:E37" si="8">C25-C26-C27-C28-C29-C30-C31-C32</f>
        <v>1220.3699999999997</v>
      </c>
      <c r="D37" s="9">
        <f t="shared" si="8"/>
        <v>790.99999999999989</v>
      </c>
      <c r="E37" s="9">
        <f t="shared" si="8"/>
        <v>1108.5099999999993</v>
      </c>
      <c r="H37" s="34" t="s">
        <v>82</v>
      </c>
      <c r="I37" s="35">
        <f>I25*I13</f>
        <v>3368.607777751422</v>
      </c>
      <c r="J37" s="35">
        <f t="shared" ref="J37:O37" si="9">J25*J13</f>
        <v>1136.7595286809592</v>
      </c>
      <c r="K37" s="35">
        <f t="shared" si="9"/>
        <v>1348.7207513114693</v>
      </c>
      <c r="L37" s="35">
        <f t="shared" si="9"/>
        <v>565.36572870414147</v>
      </c>
      <c r="M37" s="35">
        <f t="shared" si="9"/>
        <v>464.60685123493704</v>
      </c>
      <c r="N37" s="35">
        <f t="shared" si="9"/>
        <v>299.15343612398891</v>
      </c>
      <c r="O37" s="35">
        <f t="shared" si="9"/>
        <v>781.0545097206176</v>
      </c>
    </row>
    <row r="38" spans="1:15" x14ac:dyDescent="0.35">
      <c r="A38" s="28" t="s">
        <v>57</v>
      </c>
      <c r="B38" s="9">
        <f>IFERROR(B37-SUM(B33-B34),0)</f>
        <v>1155.0600000000004</v>
      </c>
      <c r="C38" s="9">
        <f t="shared" ref="C38" si="10">IFERROR(C37-SUM(C33-C34),0)</f>
        <v>1078.1999999999996</v>
      </c>
      <c r="D38" s="9">
        <f t="shared" ref="D38" si="11">IFERROR(D37-SUM(D33-D34),0)</f>
        <v>624.34999999999991</v>
      </c>
      <c r="E38" s="9">
        <f t="shared" ref="E38" si="12">IFERROR(E37-SUM(E33-E34),0)</f>
        <v>949.67999999999938</v>
      </c>
    </row>
    <row r="39" spans="1:15" x14ac:dyDescent="0.35">
      <c r="A39" s="28" t="s">
        <v>69</v>
      </c>
      <c r="B39" s="9">
        <f>B38-B35</f>
        <v>968.8100000000004</v>
      </c>
      <c r="C39" s="9">
        <f t="shared" ref="C39" si="13">C38-C35</f>
        <v>1012.3299999999996</v>
      </c>
      <c r="D39" s="9">
        <f t="shared" ref="D39" si="14">D38-D35</f>
        <v>645.39999999999986</v>
      </c>
      <c r="E39" s="9">
        <f t="shared" ref="E39" si="15">E38-E35</f>
        <v>973.31999999999937</v>
      </c>
    </row>
    <row r="40" spans="1:15" x14ac:dyDescent="0.35">
      <c r="A40" s="28" t="s">
        <v>71</v>
      </c>
      <c r="B40" s="27">
        <f>(B37/B25)</f>
        <v>0.21347923181458914</v>
      </c>
      <c r="C40" s="27">
        <f t="shared" ref="C40:E40" si="16">(C37/C25)</f>
        <v>0.18438547241251141</v>
      </c>
      <c r="D40" s="27">
        <f t="shared" si="16"/>
        <v>0.12416023105418469</v>
      </c>
      <c r="E40" s="27">
        <f t="shared" si="16"/>
        <v>0.15244962400224435</v>
      </c>
    </row>
    <row r="41" spans="1:15" x14ac:dyDescent="0.35">
      <c r="A41" s="28" t="s">
        <v>70</v>
      </c>
      <c r="B41" s="27">
        <f>B38/B25</f>
        <v>0.18980496293654933</v>
      </c>
      <c r="C41" s="27">
        <f t="shared" ref="C41:E41" si="17">C38/C25</f>
        <v>0.16290503401031636</v>
      </c>
      <c r="D41" s="27">
        <f t="shared" si="17"/>
        <v>9.8001820807433901E-2</v>
      </c>
      <c r="E41" s="27">
        <f t="shared" si="17"/>
        <v>0.13060627231369262</v>
      </c>
    </row>
    <row r="45" spans="1:15" x14ac:dyDescent="0.35">
      <c r="A45" s="30" t="s">
        <v>60</v>
      </c>
      <c r="B45" s="30"/>
      <c r="C45" s="30"/>
      <c r="D45" s="30"/>
      <c r="E45" s="30"/>
    </row>
    <row r="46" spans="1:15" x14ac:dyDescent="0.35">
      <c r="A46" s="25" t="s">
        <v>72</v>
      </c>
      <c r="B46" s="15">
        <v>44651</v>
      </c>
      <c r="C46" s="15">
        <v>45016</v>
      </c>
      <c r="D46" s="15">
        <v>45382</v>
      </c>
      <c r="E46" s="15">
        <v>45747</v>
      </c>
    </row>
    <row r="47" spans="1:15" x14ac:dyDescent="0.35">
      <c r="A47" s="1" t="s">
        <v>9</v>
      </c>
      <c r="B47">
        <v>2313.58</v>
      </c>
      <c r="C47">
        <v>2345.61</v>
      </c>
      <c r="D47">
        <v>1631.35</v>
      </c>
      <c r="E47">
        <v>1388.8</v>
      </c>
    </row>
    <row r="48" spans="1:15" x14ac:dyDescent="0.35">
      <c r="A48" s="17" t="s">
        <v>46</v>
      </c>
      <c r="B48">
        <v>1276.4100000000001</v>
      </c>
      <c r="C48">
        <v>1261.2</v>
      </c>
      <c r="D48">
        <v>916.25</v>
      </c>
      <c r="E48">
        <v>764.18</v>
      </c>
    </row>
    <row r="49" spans="1:5" x14ac:dyDescent="0.35">
      <c r="A49" s="17" t="s">
        <v>47</v>
      </c>
      <c r="B49">
        <v>53.88</v>
      </c>
      <c r="C49">
        <v>15.41</v>
      </c>
      <c r="D49">
        <v>13.05</v>
      </c>
      <c r="E49">
        <v>-16.47</v>
      </c>
    </row>
    <row r="50" spans="1:5" x14ac:dyDescent="0.35">
      <c r="A50" s="17" t="s">
        <v>48</v>
      </c>
      <c r="B50">
        <v>209.93</v>
      </c>
      <c r="C50">
        <v>237.59</v>
      </c>
      <c r="D50">
        <v>169.89</v>
      </c>
      <c r="E50">
        <v>149.63</v>
      </c>
    </row>
    <row r="51" spans="1:5" x14ac:dyDescent="0.35">
      <c r="A51" s="17" t="s">
        <v>49</v>
      </c>
      <c r="B51">
        <v>30.44</v>
      </c>
      <c r="C51">
        <v>31.8</v>
      </c>
      <c r="D51">
        <v>27.94</v>
      </c>
      <c r="E51">
        <v>26.64</v>
      </c>
    </row>
    <row r="52" spans="1:5" x14ac:dyDescent="0.35">
      <c r="A52" s="17" t="s">
        <v>50</v>
      </c>
      <c r="B52">
        <v>96.7</v>
      </c>
      <c r="C52">
        <v>85.21</v>
      </c>
      <c r="D52">
        <v>82.27</v>
      </c>
      <c r="E52">
        <v>79.86</v>
      </c>
    </row>
    <row r="53" spans="1:5" x14ac:dyDescent="0.35">
      <c r="A53" s="17" t="s">
        <v>51</v>
      </c>
      <c r="B53">
        <v>134.46</v>
      </c>
      <c r="C53">
        <v>131.58000000000001</v>
      </c>
      <c r="D53">
        <v>117.33</v>
      </c>
      <c r="E53">
        <v>114.27</v>
      </c>
    </row>
    <row r="54" spans="1:5" x14ac:dyDescent="0.35">
      <c r="A54" s="17" t="s">
        <v>52</v>
      </c>
      <c r="B54">
        <v>-3.15</v>
      </c>
      <c r="C54">
        <v>4.53</v>
      </c>
      <c r="D54">
        <v>6.99</v>
      </c>
      <c r="E54">
        <v>5.59</v>
      </c>
    </row>
    <row r="55" spans="1:5" x14ac:dyDescent="0.35">
      <c r="A55" s="16" t="s">
        <v>54</v>
      </c>
      <c r="B55">
        <v>42</v>
      </c>
      <c r="C55">
        <v>45.57</v>
      </c>
      <c r="D55">
        <v>45.37</v>
      </c>
      <c r="E55">
        <v>48.44</v>
      </c>
    </row>
    <row r="56" spans="1:5" x14ac:dyDescent="0.35">
      <c r="A56" s="16" t="s">
        <v>55</v>
      </c>
      <c r="B56">
        <v>17.100000000000001</v>
      </c>
      <c r="C56">
        <v>11.97</v>
      </c>
      <c r="D56">
        <v>6.44</v>
      </c>
      <c r="E56">
        <v>3.7</v>
      </c>
    </row>
    <row r="57" spans="1:5" x14ac:dyDescent="0.35">
      <c r="A57" s="16" t="s">
        <v>56</v>
      </c>
      <c r="B57">
        <v>160.38999999999999</v>
      </c>
      <c r="C57">
        <v>161.13</v>
      </c>
      <c r="D57">
        <v>69.25</v>
      </c>
      <c r="E57">
        <v>54.63</v>
      </c>
    </row>
    <row r="59" spans="1:5" x14ac:dyDescent="0.35">
      <c r="A59" s="28" t="s">
        <v>10</v>
      </c>
      <c r="B59" s="9">
        <f>B47-B48-B49-B50-B51-B52-B53-(B54)</f>
        <v>514.90999999999974</v>
      </c>
      <c r="C59" s="9">
        <f>C47-C48-C49-C50-C51-C52-C53-C54</f>
        <v>578.29</v>
      </c>
      <c r="D59" s="9">
        <f t="shared" ref="D59:E59" si="18">D47-D48-D49-D50-D51-D52-D53-D54</f>
        <v>297.63</v>
      </c>
      <c r="E59" s="9">
        <f t="shared" si="18"/>
        <v>265.10000000000008</v>
      </c>
    </row>
    <row r="60" spans="1:5" x14ac:dyDescent="0.35">
      <c r="A60" s="28" t="s">
        <v>57</v>
      </c>
      <c r="B60" s="9">
        <f>IFERROR(B59-SUM(B55-B56),0)</f>
        <v>490.00999999999976</v>
      </c>
      <c r="C60" s="9">
        <f t="shared" ref="C60" si="19">IFERROR(C59-SUM(C55-C56),0)</f>
        <v>544.68999999999994</v>
      </c>
      <c r="D60" s="9">
        <f t="shared" ref="D60" si="20">IFERROR(D59-SUM(D55-D56),0)</f>
        <v>258.7</v>
      </c>
      <c r="E60" s="9">
        <f t="shared" ref="E60" si="21">IFERROR(E59-SUM(E55-E56),0)</f>
        <v>220.36000000000007</v>
      </c>
    </row>
    <row r="61" spans="1:5" x14ac:dyDescent="0.35">
      <c r="A61" s="28" t="s">
        <v>69</v>
      </c>
      <c r="B61" s="9">
        <f>B60-B57</f>
        <v>329.61999999999978</v>
      </c>
      <c r="C61" s="9">
        <f t="shared" ref="C61" si="22">C60-C57</f>
        <v>383.55999999999995</v>
      </c>
      <c r="D61" s="9">
        <f t="shared" ref="D61" si="23">D60-D57</f>
        <v>189.45</v>
      </c>
      <c r="E61" s="9">
        <f t="shared" ref="E61" si="24">E60-E57</f>
        <v>165.73000000000008</v>
      </c>
    </row>
    <row r="62" spans="1:5" x14ac:dyDescent="0.35">
      <c r="A62" s="28" t="s">
        <v>71</v>
      </c>
      <c r="B62" s="27">
        <f>(B59/B47)</f>
        <v>0.22255984232228829</v>
      </c>
      <c r="C62" s="27">
        <f t="shared" ref="C62:E62" si="25">(C59/C47)</f>
        <v>0.24654141140257754</v>
      </c>
      <c r="D62" s="27">
        <f t="shared" si="25"/>
        <v>0.18244398810800871</v>
      </c>
      <c r="E62" s="27">
        <f t="shared" si="25"/>
        <v>0.19088421658986182</v>
      </c>
    </row>
    <row r="63" spans="1:5" x14ac:dyDescent="0.35">
      <c r="A63" s="28" t="s">
        <v>70</v>
      </c>
      <c r="B63" s="27">
        <f>B60/B47</f>
        <v>0.21179730115232659</v>
      </c>
      <c r="C63" s="27">
        <f t="shared" ref="C63:E63" si="26">C60/C47</f>
        <v>0.23221677943051058</v>
      </c>
      <c r="D63" s="27">
        <f t="shared" si="26"/>
        <v>0.15858031691543814</v>
      </c>
      <c r="E63" s="27">
        <f t="shared" si="26"/>
        <v>0.15866935483870973</v>
      </c>
    </row>
    <row r="67" spans="1:5" x14ac:dyDescent="0.35">
      <c r="A67" s="30" t="s">
        <v>61</v>
      </c>
      <c r="B67" s="30"/>
      <c r="C67" s="30"/>
      <c r="D67" s="30"/>
      <c r="E67" s="30"/>
    </row>
    <row r="68" spans="1:5" x14ac:dyDescent="0.35">
      <c r="A68" s="25" t="s">
        <v>72</v>
      </c>
      <c r="B68" s="15">
        <v>44651</v>
      </c>
      <c r="C68" s="15">
        <v>45016</v>
      </c>
      <c r="D68" s="15">
        <v>45382</v>
      </c>
      <c r="E68" s="15">
        <v>45747</v>
      </c>
    </row>
    <row r="69" spans="1:5" x14ac:dyDescent="0.35">
      <c r="A69" s="1" t="s">
        <v>9</v>
      </c>
      <c r="B69">
        <v>6802.19</v>
      </c>
      <c r="C69">
        <v>7972.06</v>
      </c>
      <c r="D69">
        <v>7681.83</v>
      </c>
      <c r="E69">
        <v>8281.93</v>
      </c>
    </row>
    <row r="70" spans="1:5" x14ac:dyDescent="0.35">
      <c r="A70" s="17" t="s">
        <v>46</v>
      </c>
      <c r="B70">
        <v>4163.8</v>
      </c>
      <c r="C70">
        <v>5495.06</v>
      </c>
      <c r="D70">
        <v>5086.96</v>
      </c>
      <c r="E70">
        <v>5772.59</v>
      </c>
    </row>
    <row r="71" spans="1:5" x14ac:dyDescent="0.35">
      <c r="A71" s="17" t="s">
        <v>47</v>
      </c>
      <c r="B71">
        <v>96.6</v>
      </c>
      <c r="C71">
        <v>191.11</v>
      </c>
      <c r="D71">
        <v>-102.99</v>
      </c>
      <c r="E71">
        <v>24.9</v>
      </c>
    </row>
    <row r="72" spans="1:5" x14ac:dyDescent="0.35">
      <c r="A72" s="17" t="s">
        <v>48</v>
      </c>
      <c r="B72">
        <v>438.61</v>
      </c>
      <c r="C72">
        <v>541.92999999999995</v>
      </c>
      <c r="D72">
        <v>457.12</v>
      </c>
      <c r="E72">
        <v>463.52</v>
      </c>
    </row>
    <row r="73" spans="1:5" x14ac:dyDescent="0.35">
      <c r="A73" s="17" t="s">
        <v>49</v>
      </c>
      <c r="B73">
        <v>138.55000000000001</v>
      </c>
      <c r="C73">
        <v>158.69999999999999</v>
      </c>
      <c r="D73">
        <v>178.33</v>
      </c>
      <c r="E73">
        <v>176.52</v>
      </c>
    </row>
    <row r="74" spans="1:5" x14ac:dyDescent="0.35">
      <c r="A74" s="17" t="s">
        <v>50</v>
      </c>
      <c r="B74">
        <v>277.70999999999998</v>
      </c>
      <c r="C74">
        <v>322.44</v>
      </c>
      <c r="D74">
        <v>355.19</v>
      </c>
      <c r="E74">
        <v>395.82</v>
      </c>
    </row>
    <row r="75" spans="1:5" x14ac:dyDescent="0.35">
      <c r="A75" s="17" t="s">
        <v>51</v>
      </c>
      <c r="B75">
        <v>219.74</v>
      </c>
      <c r="C75">
        <v>272.45</v>
      </c>
      <c r="D75">
        <v>261.17</v>
      </c>
      <c r="E75">
        <v>280.95</v>
      </c>
    </row>
    <row r="76" spans="1:5" x14ac:dyDescent="0.35">
      <c r="A76" s="17" t="s">
        <v>52</v>
      </c>
      <c r="B76">
        <v>53.71</v>
      </c>
      <c r="C76">
        <v>80.16</v>
      </c>
      <c r="D76">
        <v>113.52</v>
      </c>
      <c r="E76">
        <v>122.37</v>
      </c>
    </row>
    <row r="77" spans="1:5" x14ac:dyDescent="0.35">
      <c r="A77" s="16" t="s">
        <v>54</v>
      </c>
      <c r="B77">
        <v>177.7</v>
      </c>
      <c r="C77">
        <v>166.3</v>
      </c>
      <c r="D77">
        <v>165.66</v>
      </c>
      <c r="E77">
        <v>195.37</v>
      </c>
    </row>
    <row r="78" spans="1:5" x14ac:dyDescent="0.35">
      <c r="A78" s="16" t="s">
        <v>55</v>
      </c>
      <c r="B78">
        <v>36.369999999999997</v>
      </c>
      <c r="C78">
        <v>26.68</v>
      </c>
      <c r="D78">
        <v>15.1</v>
      </c>
      <c r="E78">
        <v>30.8</v>
      </c>
    </row>
    <row r="79" spans="1:5" x14ac:dyDescent="0.35">
      <c r="A79" s="16" t="s">
        <v>56</v>
      </c>
      <c r="B79">
        <v>367.81</v>
      </c>
      <c r="C79">
        <v>293.88</v>
      </c>
      <c r="D79">
        <v>290.83</v>
      </c>
      <c r="E79">
        <v>255.38</v>
      </c>
    </row>
    <row r="81" spans="1:5" x14ac:dyDescent="0.35">
      <c r="A81" s="28" t="s">
        <v>10</v>
      </c>
      <c r="B81" s="9">
        <f>B69-B70-B71-B72-B73-B74-B75-B76</f>
        <v>1413.4699999999993</v>
      </c>
      <c r="C81" s="9">
        <f t="shared" ref="C81:E81" si="27">C69-C70-C71-C72-C73-C74-C75-C76</f>
        <v>910.20999999999992</v>
      </c>
      <c r="D81" s="9">
        <f t="shared" si="27"/>
        <v>1332.5299999999997</v>
      </c>
      <c r="E81" s="9">
        <f t="shared" si="27"/>
        <v>1045.2600000000002</v>
      </c>
    </row>
    <row r="82" spans="1:5" x14ac:dyDescent="0.35">
      <c r="A82" s="28" t="s">
        <v>57</v>
      </c>
      <c r="B82" s="9">
        <f>IFERROR(B81-SUM(B77-B78),0)</f>
        <v>1272.1399999999994</v>
      </c>
      <c r="C82" s="9">
        <f t="shared" ref="C82" si="28">IFERROR(C81-SUM(C77-C78),0)</f>
        <v>770.58999999999992</v>
      </c>
      <c r="D82" s="9">
        <f t="shared" ref="D82" si="29">IFERROR(D81-SUM(D77-D78),0)</f>
        <v>1181.9699999999998</v>
      </c>
      <c r="E82" s="9">
        <f t="shared" ref="E82" si="30">IFERROR(E81-SUM(E77-E78),0)</f>
        <v>880.69000000000028</v>
      </c>
    </row>
    <row r="83" spans="1:5" x14ac:dyDescent="0.35">
      <c r="A83" s="28" t="s">
        <v>69</v>
      </c>
      <c r="B83" s="9">
        <f>B82-B79</f>
        <v>904.32999999999947</v>
      </c>
      <c r="C83" s="9">
        <f t="shared" ref="C83" si="31">C82-C79</f>
        <v>476.70999999999992</v>
      </c>
      <c r="D83" s="9">
        <f t="shared" ref="D83" si="32">D82-D79</f>
        <v>891.13999999999987</v>
      </c>
      <c r="E83" s="9">
        <f t="shared" ref="E83" si="33">E82-E79</f>
        <v>625.31000000000029</v>
      </c>
    </row>
    <row r="84" spans="1:5" x14ac:dyDescent="0.35">
      <c r="A84" s="28" t="s">
        <v>71</v>
      </c>
      <c r="B84" s="27">
        <f>(B81/B69)</f>
        <v>0.20779631265812915</v>
      </c>
      <c r="C84" s="27">
        <f t="shared" ref="C84:E84" si="34">(C81/C69)</f>
        <v>0.11417500620918557</v>
      </c>
      <c r="D84" s="27">
        <f t="shared" si="34"/>
        <v>0.17346517691747926</v>
      </c>
      <c r="E84" s="27">
        <f t="shared" si="34"/>
        <v>0.12620971198742326</v>
      </c>
    </row>
    <row r="85" spans="1:5" x14ac:dyDescent="0.35">
      <c r="A85" s="28" t="s">
        <v>70</v>
      </c>
      <c r="B85" s="27">
        <f>B82/B69</f>
        <v>0.18701918058742839</v>
      </c>
      <c r="C85" s="27">
        <f t="shared" ref="C85:E85" si="35">C82/C69</f>
        <v>9.6661339729003523E-2</v>
      </c>
      <c r="D85" s="27">
        <f t="shared" si="35"/>
        <v>0.15386568044333185</v>
      </c>
      <c r="E85" s="27">
        <f t="shared" si="35"/>
        <v>0.10633873988309492</v>
      </c>
    </row>
    <row r="89" spans="1:5" x14ac:dyDescent="0.35">
      <c r="A89" s="30" t="s">
        <v>62</v>
      </c>
      <c r="B89" s="30"/>
      <c r="C89" s="30"/>
      <c r="D89" s="30"/>
      <c r="E89" s="30"/>
    </row>
    <row r="90" spans="1:5" x14ac:dyDescent="0.35">
      <c r="A90" s="25" t="s">
        <v>72</v>
      </c>
      <c r="B90" s="15">
        <v>44651</v>
      </c>
      <c r="C90" s="15">
        <v>45016</v>
      </c>
      <c r="D90" s="15">
        <v>45382</v>
      </c>
      <c r="E90" s="15">
        <v>45747</v>
      </c>
    </row>
    <row r="91" spans="1:5" x14ac:dyDescent="0.35">
      <c r="A91" s="1" t="s">
        <v>9</v>
      </c>
      <c r="B91">
        <v>3684.21</v>
      </c>
      <c r="C91">
        <v>4461.96</v>
      </c>
      <c r="D91">
        <v>3792.24</v>
      </c>
      <c r="E91">
        <v>4220.91</v>
      </c>
    </row>
    <row r="92" spans="1:5" x14ac:dyDescent="0.35">
      <c r="A92" s="17" t="s">
        <v>46</v>
      </c>
      <c r="B92">
        <v>2657.54</v>
      </c>
      <c r="C92">
        <v>2958.43</v>
      </c>
      <c r="D92">
        <v>2455.27</v>
      </c>
      <c r="E92">
        <v>2869.65</v>
      </c>
    </row>
    <row r="93" spans="1:5" x14ac:dyDescent="0.35">
      <c r="A93" s="17" t="s">
        <v>47</v>
      </c>
      <c r="B93">
        <v>145.37</v>
      </c>
      <c r="C93">
        <v>-54.89</v>
      </c>
      <c r="D93">
        <v>-30.63</v>
      </c>
      <c r="E93">
        <v>74</v>
      </c>
    </row>
    <row r="94" spans="1:5" x14ac:dyDescent="0.35">
      <c r="A94" s="17" t="s">
        <v>48</v>
      </c>
      <c r="B94">
        <v>64.8</v>
      </c>
      <c r="C94">
        <v>74.209999999999994</v>
      </c>
      <c r="D94">
        <v>73.760000000000005</v>
      </c>
      <c r="E94">
        <v>75.02</v>
      </c>
    </row>
    <row r="95" spans="1:5" x14ac:dyDescent="0.35">
      <c r="A95" s="17" t="s">
        <v>49</v>
      </c>
      <c r="B95">
        <v>115.56</v>
      </c>
      <c r="C95">
        <v>140.71</v>
      </c>
      <c r="D95">
        <v>147.94999999999999</v>
      </c>
      <c r="E95">
        <v>150.08000000000001</v>
      </c>
    </row>
    <row r="96" spans="1:5" x14ac:dyDescent="0.35">
      <c r="A96" s="17" t="s">
        <v>50</v>
      </c>
      <c r="B96">
        <v>213.2</v>
      </c>
      <c r="C96">
        <v>249.29</v>
      </c>
      <c r="D96">
        <v>277.14999999999998</v>
      </c>
      <c r="E96">
        <v>304.04000000000002</v>
      </c>
    </row>
    <row r="97" spans="1:5" x14ac:dyDescent="0.35">
      <c r="A97" s="17" t="s">
        <v>51</v>
      </c>
      <c r="B97">
        <v>325</v>
      </c>
      <c r="C97">
        <v>346.73</v>
      </c>
      <c r="D97">
        <v>268.11</v>
      </c>
      <c r="E97">
        <v>324.3</v>
      </c>
    </row>
    <row r="98" spans="1:5" x14ac:dyDescent="0.35">
      <c r="A98" s="17" t="s">
        <v>52</v>
      </c>
      <c r="B98">
        <v>52.77</v>
      </c>
      <c r="C98">
        <v>69.42</v>
      </c>
      <c r="D98">
        <v>77.150000000000006</v>
      </c>
      <c r="E98">
        <v>87.59</v>
      </c>
    </row>
    <row r="99" spans="1:5" x14ac:dyDescent="0.35">
      <c r="A99" s="16" t="s">
        <v>54</v>
      </c>
      <c r="B99">
        <v>71.06</v>
      </c>
      <c r="C99">
        <v>83.48</v>
      </c>
      <c r="D99">
        <v>99.81</v>
      </c>
      <c r="E99">
        <v>110.34</v>
      </c>
    </row>
    <row r="100" spans="1:5" x14ac:dyDescent="0.35">
      <c r="A100" s="16" t="s">
        <v>55</v>
      </c>
      <c r="B100">
        <v>12.85</v>
      </c>
      <c r="C100">
        <v>21.7</v>
      </c>
      <c r="D100">
        <v>22.4</v>
      </c>
      <c r="E100">
        <v>19.25</v>
      </c>
    </row>
    <row r="101" spans="1:5" x14ac:dyDescent="0.35">
      <c r="A101" s="16" t="s">
        <v>56</v>
      </c>
      <c r="B101">
        <v>66.53</v>
      </c>
      <c r="C101">
        <v>91.97</v>
      </c>
      <c r="D101">
        <v>74</v>
      </c>
      <c r="E101">
        <v>75.540000000000006</v>
      </c>
    </row>
    <row r="103" spans="1:5" x14ac:dyDescent="0.35">
      <c r="A103" s="28" t="s">
        <v>10</v>
      </c>
      <c r="B103" s="9">
        <f>B91-B92-B93-B94-B95-B96-B97-B98</f>
        <v>109.97000000000006</v>
      </c>
      <c r="C103" s="9">
        <f>C91-C92-(C93)-C94-C95-C96-C97-C98</f>
        <v>678.06000000000029</v>
      </c>
      <c r="D103" s="9">
        <f>D91-D92-(D93)-D94-D95-D96-D97-D98</f>
        <v>523.4799999999999</v>
      </c>
      <c r="E103" s="9">
        <f>E91-E92-E93-E94-E95-E96-E97-E98</f>
        <v>336.2299999999999</v>
      </c>
    </row>
    <row r="104" spans="1:5" x14ac:dyDescent="0.35">
      <c r="A104" s="28" t="s">
        <v>57</v>
      </c>
      <c r="B104" s="9">
        <f>IFERROR(B103-SUM(B99-B100),0)</f>
        <v>51.760000000000055</v>
      </c>
      <c r="C104" s="9">
        <f t="shared" ref="C104" si="36">IFERROR(C103-SUM(C99-C100),0)</f>
        <v>616.28000000000031</v>
      </c>
      <c r="D104" s="9">
        <f t="shared" ref="D104" si="37">IFERROR(D103-SUM(D99-D100),0)</f>
        <v>446.06999999999994</v>
      </c>
      <c r="E104" s="9">
        <f t="shared" ref="E104" si="38">IFERROR(E103-SUM(E99-E100),0)</f>
        <v>245.1399999999999</v>
      </c>
    </row>
    <row r="105" spans="1:5" x14ac:dyDescent="0.35">
      <c r="A105" s="28" t="s">
        <v>69</v>
      </c>
      <c r="B105" s="9">
        <f>B104-B101</f>
        <v>-14.769999999999946</v>
      </c>
      <c r="C105" s="9">
        <f t="shared" ref="C105" si="39">C104-C101</f>
        <v>524.31000000000029</v>
      </c>
      <c r="D105" s="9">
        <f t="shared" ref="D105" si="40">D104-D101</f>
        <v>372.06999999999994</v>
      </c>
      <c r="E105" s="9">
        <f t="shared" ref="E105" si="41">E104-E101</f>
        <v>169.59999999999991</v>
      </c>
    </row>
    <row r="106" spans="1:5" x14ac:dyDescent="0.35">
      <c r="A106" s="28" t="s">
        <v>71</v>
      </c>
      <c r="B106" s="27">
        <f>(B103/B91)</f>
        <v>2.984900426414348E-2</v>
      </c>
      <c r="C106" s="27">
        <f t="shared" ref="C106:E106" si="42">(C103/C91)</f>
        <v>0.15196460748191384</v>
      </c>
      <c r="D106" s="27">
        <f t="shared" si="42"/>
        <v>0.13803978651140222</v>
      </c>
      <c r="E106" s="27">
        <f t="shared" si="42"/>
        <v>7.9658177975839309E-2</v>
      </c>
    </row>
    <row r="107" spans="1:5" x14ac:dyDescent="0.35">
      <c r="A107" s="28" t="s">
        <v>70</v>
      </c>
      <c r="B107" s="27">
        <f>B104/B91</f>
        <v>1.4049144864163567E-2</v>
      </c>
      <c r="C107" s="27">
        <f t="shared" ref="C107:E107" si="43">C104/C91</f>
        <v>0.13811867430456579</v>
      </c>
      <c r="D107" s="27">
        <f t="shared" si="43"/>
        <v>0.11762704892095437</v>
      </c>
      <c r="E107" s="27">
        <f t="shared" si="43"/>
        <v>5.8077523567192833E-2</v>
      </c>
    </row>
    <row r="111" spans="1:5" x14ac:dyDescent="0.35">
      <c r="A111" s="30" t="s">
        <v>63</v>
      </c>
      <c r="B111" s="30"/>
      <c r="C111" s="30"/>
      <c r="D111" s="30"/>
      <c r="E111" s="30"/>
    </row>
    <row r="112" spans="1:5" x14ac:dyDescent="0.35">
      <c r="A112" s="25" t="s">
        <v>72</v>
      </c>
      <c r="B112" s="15">
        <v>44651</v>
      </c>
      <c r="C112" s="15">
        <v>45016</v>
      </c>
      <c r="D112" s="15">
        <v>45382</v>
      </c>
      <c r="E112" s="15">
        <v>45747</v>
      </c>
    </row>
    <row r="113" spans="1:5" x14ac:dyDescent="0.35">
      <c r="A113" s="1" t="s">
        <v>9</v>
      </c>
      <c r="B113">
        <v>1453.36</v>
      </c>
      <c r="C113">
        <v>2077.4</v>
      </c>
      <c r="D113">
        <v>2065.0100000000002</v>
      </c>
      <c r="E113">
        <v>2349.38</v>
      </c>
    </row>
    <row r="114" spans="1:5" x14ac:dyDescent="0.35">
      <c r="A114" s="17" t="s">
        <v>46</v>
      </c>
      <c r="B114">
        <v>642.05999999999995</v>
      </c>
      <c r="C114">
        <v>896.03</v>
      </c>
      <c r="D114">
        <v>878.9</v>
      </c>
      <c r="E114">
        <v>1026.72</v>
      </c>
    </row>
    <row r="115" spans="1:5" x14ac:dyDescent="0.35">
      <c r="A115" s="17" t="s">
        <v>47</v>
      </c>
      <c r="B115">
        <v>10.26</v>
      </c>
      <c r="C115">
        <v>29.37</v>
      </c>
      <c r="D115">
        <v>-23.72</v>
      </c>
      <c r="E115">
        <v>16.690000000000001</v>
      </c>
    </row>
    <row r="116" spans="1:5" x14ac:dyDescent="0.35">
      <c r="A116" s="17" t="s">
        <v>48</v>
      </c>
      <c r="B116">
        <v>75.63</v>
      </c>
      <c r="C116">
        <v>134.54</v>
      </c>
      <c r="D116">
        <v>155.83000000000001</v>
      </c>
      <c r="E116">
        <v>166.19</v>
      </c>
    </row>
    <row r="117" spans="1:5" x14ac:dyDescent="0.35">
      <c r="A117" s="17" t="s">
        <v>49</v>
      </c>
      <c r="B117">
        <v>139.25</v>
      </c>
      <c r="C117">
        <v>165.84</v>
      </c>
      <c r="D117">
        <v>181.7</v>
      </c>
      <c r="E117">
        <v>216.16</v>
      </c>
    </row>
    <row r="118" spans="1:5" x14ac:dyDescent="0.35">
      <c r="A118" s="17" t="s">
        <v>50</v>
      </c>
      <c r="B118">
        <v>182</v>
      </c>
      <c r="C118">
        <v>249.91</v>
      </c>
      <c r="D118">
        <v>285.85000000000002</v>
      </c>
      <c r="E118">
        <v>297.18</v>
      </c>
    </row>
    <row r="119" spans="1:5" x14ac:dyDescent="0.35">
      <c r="A119" s="17" t="s">
        <v>51</v>
      </c>
      <c r="B119">
        <v>28.83</v>
      </c>
      <c r="C119">
        <v>34.9</v>
      </c>
      <c r="D119">
        <v>39.22</v>
      </c>
      <c r="E119">
        <v>32.29</v>
      </c>
    </row>
    <row r="120" spans="1:5" x14ac:dyDescent="0.35">
      <c r="A120" s="17" t="s">
        <v>52</v>
      </c>
      <c r="B120">
        <v>40.200000000000003</v>
      </c>
      <c r="C120">
        <v>75.209999999999994</v>
      </c>
      <c r="D120">
        <v>100.62</v>
      </c>
      <c r="E120">
        <v>93.81</v>
      </c>
    </row>
    <row r="121" spans="1:5" x14ac:dyDescent="0.35">
      <c r="A121" s="16" t="s">
        <v>54</v>
      </c>
      <c r="B121">
        <v>47.9</v>
      </c>
      <c r="C121">
        <v>62.64</v>
      </c>
      <c r="D121">
        <v>96.16</v>
      </c>
      <c r="E121">
        <v>119.43</v>
      </c>
    </row>
    <row r="122" spans="1:5" x14ac:dyDescent="0.35">
      <c r="A122" s="16" t="s">
        <v>55</v>
      </c>
      <c r="B122">
        <v>1.9</v>
      </c>
      <c r="C122">
        <v>27.52</v>
      </c>
      <c r="D122">
        <v>74.56</v>
      </c>
      <c r="E122">
        <v>77.930000000000007</v>
      </c>
    </row>
    <row r="123" spans="1:5" x14ac:dyDescent="0.35">
      <c r="A123" s="16" t="s">
        <v>56</v>
      </c>
      <c r="B123">
        <v>81.150000000000006</v>
      </c>
      <c r="C123">
        <v>120.69</v>
      </c>
      <c r="D123">
        <v>65.03</v>
      </c>
      <c r="E123">
        <v>91.49</v>
      </c>
    </row>
    <row r="125" spans="1:5" x14ac:dyDescent="0.35">
      <c r="A125" s="28" t="s">
        <v>10</v>
      </c>
      <c r="B125" s="9">
        <f>B113-B114-B115-B116-B117-B118-B119-B120</f>
        <v>335.13</v>
      </c>
      <c r="C125" s="9">
        <f t="shared" ref="C125:E125" si="44">C113-C114-C115-C116-C117-C118-C119-C120</f>
        <v>491.60000000000031</v>
      </c>
      <c r="D125" s="9">
        <f t="shared" si="44"/>
        <v>446.61000000000013</v>
      </c>
      <c r="E125" s="9">
        <f t="shared" si="44"/>
        <v>500.34000000000009</v>
      </c>
    </row>
    <row r="126" spans="1:5" x14ac:dyDescent="0.35">
      <c r="A126" s="28" t="s">
        <v>57</v>
      </c>
      <c r="B126" s="9">
        <f>IFERROR(B125-SUM(B121-B122),0)</f>
        <v>289.13</v>
      </c>
      <c r="C126" s="9">
        <f t="shared" ref="C126" si="45">IFERROR(C125-SUM(C121-C122),0)</f>
        <v>456.4800000000003</v>
      </c>
      <c r="D126" s="9">
        <f t="shared" ref="D126" si="46">IFERROR(D125-SUM(D121-D122),0)</f>
        <v>425.0100000000001</v>
      </c>
      <c r="E126" s="9">
        <f t="shared" ref="E126" si="47">IFERROR(E125-SUM(E121-E122),0)</f>
        <v>458.84000000000009</v>
      </c>
    </row>
    <row r="127" spans="1:5" x14ac:dyDescent="0.35">
      <c r="A127" s="28" t="s">
        <v>69</v>
      </c>
      <c r="B127" s="9">
        <f>B126-B123</f>
        <v>207.98</v>
      </c>
      <c r="C127" s="9">
        <f t="shared" ref="C127" si="48">C126-C123</f>
        <v>335.7900000000003</v>
      </c>
      <c r="D127" s="9">
        <f t="shared" ref="D127" si="49">D126-D123</f>
        <v>359.98000000000013</v>
      </c>
      <c r="E127" s="9">
        <f t="shared" ref="E127" si="50">E126-E123</f>
        <v>367.35000000000008</v>
      </c>
    </row>
    <row r="128" spans="1:5" x14ac:dyDescent="0.35">
      <c r="A128" s="28" t="s">
        <v>71</v>
      </c>
      <c r="B128" s="27">
        <f>(B125/B113)</f>
        <v>0.2305898056916387</v>
      </c>
      <c r="C128" s="27">
        <f t="shared" ref="C128:E128" si="51">(C125/C113)</f>
        <v>0.23664195629151838</v>
      </c>
      <c r="D128" s="27">
        <f t="shared" si="51"/>
        <v>0.21627498171921689</v>
      </c>
      <c r="E128" s="27">
        <f t="shared" si="51"/>
        <v>0.21296682529007657</v>
      </c>
    </row>
    <row r="129" spans="1:5" x14ac:dyDescent="0.35">
      <c r="A129" s="28" t="s">
        <v>70</v>
      </c>
      <c r="B129" s="27">
        <f>B126/B113</f>
        <v>0.19893901029338912</v>
      </c>
      <c r="C129" s="27">
        <f t="shared" ref="C129:E129" si="52">C126/C113</f>
        <v>0.21973620872244165</v>
      </c>
      <c r="D129" s="27">
        <f t="shared" si="52"/>
        <v>0.205814983946809</v>
      </c>
      <c r="E129" s="27">
        <f t="shared" si="52"/>
        <v>0.19530259047067741</v>
      </c>
    </row>
    <row r="133" spans="1:5" x14ac:dyDescent="0.35">
      <c r="A133" s="30" t="s">
        <v>64</v>
      </c>
      <c r="B133" s="30"/>
      <c r="C133" s="30"/>
      <c r="D133" s="30"/>
      <c r="E133" s="30"/>
    </row>
    <row r="134" spans="1:5" x14ac:dyDescent="0.35">
      <c r="A134" s="25" t="s">
        <v>72</v>
      </c>
      <c r="B134" s="15">
        <v>44651</v>
      </c>
      <c r="C134" s="15">
        <v>45016</v>
      </c>
      <c r="D134" s="15">
        <v>45382</v>
      </c>
      <c r="E134" s="15">
        <v>45747</v>
      </c>
    </row>
    <row r="135" spans="1:5" x14ac:dyDescent="0.35">
      <c r="A135" s="1" t="s">
        <v>9</v>
      </c>
      <c r="B135">
        <v>1615.51</v>
      </c>
      <c r="C135">
        <v>2066.23</v>
      </c>
      <c r="D135">
        <v>1899.98</v>
      </c>
      <c r="E135">
        <v>2248.1</v>
      </c>
    </row>
    <row r="136" spans="1:5" x14ac:dyDescent="0.35">
      <c r="A136" s="17" t="s">
        <v>46</v>
      </c>
      <c r="B136">
        <v>861.13</v>
      </c>
      <c r="C136">
        <v>1078.53</v>
      </c>
      <c r="D136">
        <v>1010.21</v>
      </c>
      <c r="E136">
        <v>1182.29</v>
      </c>
    </row>
    <row r="137" spans="1:5" x14ac:dyDescent="0.35">
      <c r="A137" s="17" t="s">
        <v>47</v>
      </c>
      <c r="B137">
        <v>0.41</v>
      </c>
      <c r="C137">
        <v>4.03</v>
      </c>
      <c r="D137">
        <v>-1.1299999999999999</v>
      </c>
      <c r="E137">
        <v>-14.08</v>
      </c>
    </row>
    <row r="138" spans="1:5" x14ac:dyDescent="0.35">
      <c r="A138" s="17" t="s">
        <v>48</v>
      </c>
      <c r="B138">
        <v>120.26</v>
      </c>
      <c r="C138">
        <v>170.31</v>
      </c>
      <c r="D138">
        <v>140.44999999999999</v>
      </c>
      <c r="E138">
        <v>157.28</v>
      </c>
    </row>
    <row r="139" spans="1:5" x14ac:dyDescent="0.35">
      <c r="A139" s="17" t="s">
        <v>49</v>
      </c>
      <c r="B139">
        <v>85.47</v>
      </c>
      <c r="C139">
        <v>109.31</v>
      </c>
      <c r="D139">
        <v>102.9</v>
      </c>
      <c r="E139">
        <v>116.69</v>
      </c>
    </row>
    <row r="140" spans="1:5" x14ac:dyDescent="0.35">
      <c r="A140" s="17" t="s">
        <v>50</v>
      </c>
      <c r="B140">
        <v>84.15</v>
      </c>
      <c r="C140">
        <v>99.73</v>
      </c>
      <c r="D140">
        <v>119.08</v>
      </c>
      <c r="E140">
        <v>138.19999999999999</v>
      </c>
    </row>
    <row r="141" spans="1:5" x14ac:dyDescent="0.35">
      <c r="A141" s="17" t="s">
        <v>51</v>
      </c>
      <c r="B141">
        <v>13.5</v>
      </c>
      <c r="C141">
        <v>33.229999999999997</v>
      </c>
      <c r="D141">
        <v>39.83</v>
      </c>
      <c r="E141">
        <v>36.36</v>
      </c>
    </row>
    <row r="142" spans="1:5" x14ac:dyDescent="0.35">
      <c r="A142" s="17" t="s">
        <v>52</v>
      </c>
      <c r="B142">
        <v>15.93</v>
      </c>
      <c r="C142">
        <v>6.14</v>
      </c>
      <c r="D142">
        <v>14.97</v>
      </c>
      <c r="E142">
        <v>16.64</v>
      </c>
    </row>
    <row r="143" spans="1:5" x14ac:dyDescent="0.35">
      <c r="A143" s="16" t="s">
        <v>54</v>
      </c>
      <c r="B143">
        <v>45.49</v>
      </c>
      <c r="C143">
        <v>59.02</v>
      </c>
      <c r="D143">
        <v>72.790000000000006</v>
      </c>
      <c r="E143">
        <v>80.75</v>
      </c>
    </row>
    <row r="144" spans="1:5" x14ac:dyDescent="0.35">
      <c r="A144" s="16" t="s">
        <v>55</v>
      </c>
      <c r="B144">
        <v>1.65</v>
      </c>
      <c r="C144">
        <v>3.26</v>
      </c>
      <c r="D144">
        <v>4.95</v>
      </c>
      <c r="E144">
        <v>1.87</v>
      </c>
    </row>
    <row r="145" spans="1:5" x14ac:dyDescent="0.35">
      <c r="A145" s="16" t="s">
        <v>56</v>
      </c>
      <c r="B145">
        <v>102.63</v>
      </c>
      <c r="C145">
        <v>144.01</v>
      </c>
      <c r="D145">
        <v>109.09</v>
      </c>
      <c r="E145">
        <v>133</v>
      </c>
    </row>
    <row r="147" spans="1:5" x14ac:dyDescent="0.35">
      <c r="A147" s="28" t="s">
        <v>10</v>
      </c>
      <c r="B147" s="9">
        <f>B135-B136-B137-B138-B139-B140-B141-B142</f>
        <v>434.66</v>
      </c>
      <c r="C147" s="9">
        <f t="shared" ref="C147:E147" si="53">C135-C136-C137-C138-C139-C140-C141-C142</f>
        <v>564.95000000000016</v>
      </c>
      <c r="D147" s="9">
        <f t="shared" si="53"/>
        <v>473.67</v>
      </c>
      <c r="E147" s="9">
        <f t="shared" si="53"/>
        <v>614.7199999999998</v>
      </c>
    </row>
    <row r="148" spans="1:5" x14ac:dyDescent="0.35">
      <c r="A148" s="28" t="s">
        <v>57</v>
      </c>
      <c r="B148" s="9">
        <f>IFERROR(B147-SUM(B143-B144),0)</f>
        <v>390.82000000000005</v>
      </c>
      <c r="C148" s="9">
        <f t="shared" ref="C148" si="54">IFERROR(C147-SUM(C143-C144),0)</f>
        <v>509.19000000000017</v>
      </c>
      <c r="D148" s="9">
        <f t="shared" ref="D148" si="55">IFERROR(D147-SUM(D143-D144),0)</f>
        <v>405.83000000000004</v>
      </c>
      <c r="E148" s="9">
        <f t="shared" ref="E148" si="56">IFERROR(E147-SUM(E143-E144),0)</f>
        <v>535.8399999999998</v>
      </c>
    </row>
    <row r="149" spans="1:5" x14ac:dyDescent="0.35">
      <c r="A149" s="28" t="s">
        <v>69</v>
      </c>
      <c r="B149" s="9">
        <f>B148-B145</f>
        <v>288.19000000000005</v>
      </c>
      <c r="C149" s="9">
        <f t="shared" ref="C149" si="57">C148-C145</f>
        <v>365.18000000000018</v>
      </c>
      <c r="D149" s="9">
        <f t="shared" ref="D149" si="58">D148-D145</f>
        <v>296.74</v>
      </c>
      <c r="E149" s="9">
        <f t="shared" ref="E149" si="59">E148-E145</f>
        <v>402.8399999999998</v>
      </c>
    </row>
    <row r="150" spans="1:5" x14ac:dyDescent="0.35">
      <c r="A150" s="28" t="s">
        <v>71</v>
      </c>
      <c r="B150" s="27">
        <f>(B147/B135)</f>
        <v>0.26905435435249553</v>
      </c>
      <c r="C150" s="27">
        <f t="shared" ref="C150:E150" si="60">(C147/C135)</f>
        <v>0.27342067436829404</v>
      </c>
      <c r="D150" s="27">
        <f t="shared" si="60"/>
        <v>0.24930262423814989</v>
      </c>
      <c r="E150" s="27">
        <f t="shared" si="60"/>
        <v>0.2734397936034873</v>
      </c>
    </row>
    <row r="151" spans="1:5" x14ac:dyDescent="0.35">
      <c r="A151" s="28" t="s">
        <v>70</v>
      </c>
      <c r="B151" s="27">
        <f>B148/B135</f>
        <v>0.241917413076985</v>
      </c>
      <c r="C151" s="27">
        <f t="shared" ref="C151:E151" si="61">C148/C135</f>
        <v>0.24643432725301645</v>
      </c>
      <c r="D151" s="27">
        <f t="shared" si="61"/>
        <v>0.21359698523142351</v>
      </c>
      <c r="E151" s="27">
        <f t="shared" si="61"/>
        <v>0.23835238645967699</v>
      </c>
    </row>
  </sheetData>
  <mergeCells count="14">
    <mergeCell ref="A133:E133"/>
    <mergeCell ref="A1:E1"/>
    <mergeCell ref="H1:O1"/>
    <mergeCell ref="H6:O6"/>
    <mergeCell ref="H11:O11"/>
    <mergeCell ref="H17:O17"/>
    <mergeCell ref="H22:O22"/>
    <mergeCell ref="H28:O28"/>
    <mergeCell ref="H34:O34"/>
    <mergeCell ref="A23:E23"/>
    <mergeCell ref="A45:E45"/>
    <mergeCell ref="A67:E67"/>
    <mergeCell ref="A89:E89"/>
    <mergeCell ref="A111:E1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C2E3-35A7-499B-9578-624E7060B6FE}">
  <dimension ref="A1:B159"/>
  <sheetViews>
    <sheetView topLeftCell="A73" workbookViewId="0">
      <selection activeCell="D153" sqref="D153"/>
    </sheetView>
  </sheetViews>
  <sheetFormatPr defaultRowHeight="14.5" x14ac:dyDescent="0.35"/>
  <cols>
    <col min="1" max="1" width="18.54296875" style="1" bestFit="1" customWidth="1"/>
    <col min="2" max="16384" width="8.7265625" style="1"/>
  </cols>
  <sheetData>
    <row r="1" spans="1:2" x14ac:dyDescent="0.35">
      <c r="A1" s="30" t="s">
        <v>44</v>
      </c>
      <c r="B1" s="30"/>
    </row>
    <row r="2" spans="1:2" x14ac:dyDescent="0.35">
      <c r="A2" s="5" t="s">
        <v>53</v>
      </c>
      <c r="B2" s="15">
        <v>45747</v>
      </c>
    </row>
    <row r="3" spans="1:2" x14ac:dyDescent="0.35">
      <c r="A3" s="16" t="s">
        <v>45</v>
      </c>
      <c r="B3" s="1">
        <v>11697.97</v>
      </c>
    </row>
    <row r="4" spans="1:2" x14ac:dyDescent="0.35">
      <c r="A4" s="17" t="s">
        <v>46</v>
      </c>
      <c r="B4" s="1">
        <v>5698.88</v>
      </c>
    </row>
    <row r="5" spans="1:2" x14ac:dyDescent="0.35">
      <c r="A5" s="17" t="s">
        <v>47</v>
      </c>
      <c r="B5" s="1">
        <v>-23.27</v>
      </c>
    </row>
    <row r="6" spans="1:2" x14ac:dyDescent="0.35">
      <c r="A6" s="17" t="s">
        <v>48</v>
      </c>
      <c r="B6" s="1">
        <v>1127.06</v>
      </c>
    </row>
    <row r="7" spans="1:2" x14ac:dyDescent="0.35">
      <c r="A7" s="17" t="s">
        <v>49</v>
      </c>
      <c r="B7" s="1">
        <v>455.86</v>
      </c>
    </row>
    <row r="8" spans="1:2" x14ac:dyDescent="0.35">
      <c r="A8" s="17" t="s">
        <v>50</v>
      </c>
      <c r="B8" s="1">
        <v>869.4</v>
      </c>
    </row>
    <row r="9" spans="1:2" x14ac:dyDescent="0.35">
      <c r="A9" s="17" t="s">
        <v>51</v>
      </c>
      <c r="B9" s="1">
        <v>641.79999999999995</v>
      </c>
    </row>
    <row r="10" spans="1:2" x14ac:dyDescent="0.35">
      <c r="A10" s="17" t="s">
        <v>52</v>
      </c>
      <c r="B10" s="1">
        <v>425.98</v>
      </c>
    </row>
    <row r="11" spans="1:2" x14ac:dyDescent="0.35">
      <c r="A11" s="16" t="s">
        <v>54</v>
      </c>
      <c r="B11" s="1">
        <v>629.96</v>
      </c>
    </row>
    <row r="12" spans="1:2" x14ac:dyDescent="0.35">
      <c r="A12" s="16" t="s">
        <v>55</v>
      </c>
      <c r="B12" s="1">
        <v>296.35000000000002</v>
      </c>
    </row>
    <row r="13" spans="1:2" x14ac:dyDescent="0.35">
      <c r="A13" s="16" t="s">
        <v>56</v>
      </c>
      <c r="B13" s="1">
        <v>436.31</v>
      </c>
    </row>
    <row r="14" spans="1:2" x14ac:dyDescent="0.35">
      <c r="A14" s="13" t="s">
        <v>65</v>
      </c>
      <c r="B14">
        <v>3337.22</v>
      </c>
    </row>
    <row r="15" spans="1:2" x14ac:dyDescent="0.35">
      <c r="A15" s="14" t="s">
        <v>66</v>
      </c>
      <c r="B15">
        <v>329.1</v>
      </c>
    </row>
    <row r="17" spans="1:2" x14ac:dyDescent="0.35">
      <c r="A17" s="8" t="s">
        <v>10</v>
      </c>
      <c r="B17" s="8">
        <f>B3-B4-(B5)-B6-B7-B8-B9-B10</f>
        <v>2502.2599999999998</v>
      </c>
    </row>
    <row r="18" spans="1:2" x14ac:dyDescent="0.35">
      <c r="A18" s="18" t="s">
        <v>57</v>
      </c>
      <c r="B18" s="8">
        <f>B17-B11-B12</f>
        <v>1575.9499999999998</v>
      </c>
    </row>
    <row r="19" spans="1:2" x14ac:dyDescent="0.35">
      <c r="A19" s="18" t="s">
        <v>58</v>
      </c>
      <c r="B19" s="8">
        <f>B18-B13</f>
        <v>1139.6399999999999</v>
      </c>
    </row>
    <row r="20" spans="1:2" x14ac:dyDescent="0.35">
      <c r="A20" s="8" t="s">
        <v>36</v>
      </c>
      <c r="B20" s="8">
        <f>B3</f>
        <v>11697.97</v>
      </c>
    </row>
    <row r="21" spans="1:2" x14ac:dyDescent="0.35">
      <c r="A21" s="8" t="s">
        <v>35</v>
      </c>
      <c r="B21" s="8">
        <f>B14-B15</f>
        <v>3008.12</v>
      </c>
    </row>
    <row r="24" spans="1:2" x14ac:dyDescent="0.35">
      <c r="A24" s="31" t="s">
        <v>59</v>
      </c>
      <c r="B24" s="31"/>
    </row>
    <row r="25" spans="1:2" x14ac:dyDescent="0.35">
      <c r="A25" s="5" t="s">
        <v>53</v>
      </c>
      <c r="B25" s="15">
        <v>45747</v>
      </c>
    </row>
    <row r="26" spans="1:2" x14ac:dyDescent="0.35">
      <c r="A26" s="16" t="s">
        <v>45</v>
      </c>
      <c r="B26">
        <v>7271.32</v>
      </c>
    </row>
    <row r="27" spans="1:2" x14ac:dyDescent="0.35">
      <c r="A27" s="17" t="s">
        <v>46</v>
      </c>
      <c r="B27">
        <v>4166.72</v>
      </c>
    </row>
    <row r="28" spans="1:2" x14ac:dyDescent="0.35">
      <c r="A28" s="17" t="s">
        <v>47</v>
      </c>
      <c r="B28">
        <v>-54.03</v>
      </c>
    </row>
    <row r="29" spans="1:2" x14ac:dyDescent="0.35">
      <c r="A29" s="17" t="s">
        <v>48</v>
      </c>
      <c r="B29">
        <v>175.61</v>
      </c>
    </row>
    <row r="30" spans="1:2" x14ac:dyDescent="0.35">
      <c r="A30" s="17" t="s">
        <v>49</v>
      </c>
      <c r="B30">
        <v>978.99</v>
      </c>
    </row>
    <row r="31" spans="1:2" x14ac:dyDescent="0.35">
      <c r="A31" s="17" t="s">
        <v>50</v>
      </c>
      <c r="B31">
        <v>422.42</v>
      </c>
    </row>
    <row r="32" spans="1:2" x14ac:dyDescent="0.35">
      <c r="A32" s="17" t="s">
        <v>51</v>
      </c>
      <c r="B32">
        <v>439.44</v>
      </c>
    </row>
    <row r="33" spans="1:2" x14ac:dyDescent="0.35">
      <c r="A33" s="17" t="s">
        <v>52</v>
      </c>
      <c r="B33">
        <v>33.659999999999997</v>
      </c>
    </row>
    <row r="34" spans="1:2" x14ac:dyDescent="0.35">
      <c r="A34" s="16" t="s">
        <v>54</v>
      </c>
      <c r="B34">
        <v>434.27</v>
      </c>
    </row>
    <row r="35" spans="1:2" x14ac:dyDescent="0.35">
      <c r="A35" s="16" t="s">
        <v>55</v>
      </c>
      <c r="B35">
        <v>275.44</v>
      </c>
    </row>
    <row r="36" spans="1:2" x14ac:dyDescent="0.35">
      <c r="A36" s="16" t="s">
        <v>56</v>
      </c>
      <c r="B36">
        <v>-23.64</v>
      </c>
    </row>
    <row r="37" spans="1:2" x14ac:dyDescent="0.35">
      <c r="A37" s="13" t="s">
        <v>65</v>
      </c>
      <c r="B37">
        <v>3847.79</v>
      </c>
    </row>
    <row r="38" spans="1:2" x14ac:dyDescent="0.35">
      <c r="A38" s="14" t="s">
        <v>66</v>
      </c>
      <c r="B38">
        <v>294.97000000000003</v>
      </c>
    </row>
    <row r="40" spans="1:2" x14ac:dyDescent="0.35">
      <c r="A40" s="8" t="s">
        <v>10</v>
      </c>
      <c r="B40" s="8">
        <f>B26-B27-(B28)-B29-B30-B31-B32-B33</f>
        <v>1108.5099999999993</v>
      </c>
    </row>
    <row r="41" spans="1:2" x14ac:dyDescent="0.35">
      <c r="A41" s="18" t="s">
        <v>57</v>
      </c>
      <c r="B41" s="8">
        <f>B40-B34-B35</f>
        <v>398.79999999999933</v>
      </c>
    </row>
    <row r="42" spans="1:2" x14ac:dyDescent="0.35">
      <c r="A42" s="18" t="s">
        <v>58</v>
      </c>
      <c r="B42" s="8">
        <f>B41-(B36)</f>
        <v>422.43999999999932</v>
      </c>
    </row>
    <row r="43" spans="1:2" x14ac:dyDescent="0.35">
      <c r="A43" s="8" t="s">
        <v>36</v>
      </c>
      <c r="B43" s="8">
        <f>B26</f>
        <v>7271.32</v>
      </c>
    </row>
    <row r="44" spans="1:2" x14ac:dyDescent="0.35">
      <c r="A44" s="8" t="s">
        <v>35</v>
      </c>
      <c r="B44" s="8">
        <f>B37-B38</f>
        <v>3552.8199999999997</v>
      </c>
    </row>
    <row r="47" spans="1:2" x14ac:dyDescent="0.35">
      <c r="A47" s="31" t="s">
        <v>60</v>
      </c>
      <c r="B47" s="31"/>
    </row>
    <row r="48" spans="1:2" x14ac:dyDescent="0.35">
      <c r="A48" s="5" t="s">
        <v>53</v>
      </c>
      <c r="B48" s="15">
        <v>45747</v>
      </c>
    </row>
    <row r="49" spans="1:2" x14ac:dyDescent="0.35">
      <c r="A49" s="16" t="s">
        <v>45</v>
      </c>
      <c r="B49">
        <v>1388.8</v>
      </c>
    </row>
    <row r="50" spans="1:2" x14ac:dyDescent="0.35">
      <c r="A50" s="17" t="s">
        <v>46</v>
      </c>
      <c r="B50">
        <v>764.18</v>
      </c>
    </row>
    <row r="51" spans="1:2" x14ac:dyDescent="0.35">
      <c r="A51" s="17" t="s">
        <v>47</v>
      </c>
      <c r="B51">
        <v>-16.47</v>
      </c>
    </row>
    <row r="52" spans="1:2" x14ac:dyDescent="0.35">
      <c r="A52" s="17" t="s">
        <v>48</v>
      </c>
      <c r="B52">
        <v>149.63</v>
      </c>
    </row>
    <row r="53" spans="1:2" x14ac:dyDescent="0.35">
      <c r="A53" s="17" t="s">
        <v>49</v>
      </c>
      <c r="B53">
        <v>26.64</v>
      </c>
    </row>
    <row r="54" spans="1:2" x14ac:dyDescent="0.35">
      <c r="A54" s="17" t="s">
        <v>50</v>
      </c>
      <c r="B54">
        <v>79.86</v>
      </c>
    </row>
    <row r="55" spans="1:2" x14ac:dyDescent="0.35">
      <c r="A55" s="17" t="s">
        <v>51</v>
      </c>
      <c r="B55">
        <v>114.27</v>
      </c>
    </row>
    <row r="56" spans="1:2" x14ac:dyDescent="0.35">
      <c r="A56" s="17" t="s">
        <v>52</v>
      </c>
      <c r="B56">
        <v>5.59</v>
      </c>
    </row>
    <row r="57" spans="1:2" x14ac:dyDescent="0.35">
      <c r="A57" s="16" t="s">
        <v>54</v>
      </c>
      <c r="B57">
        <v>48.44</v>
      </c>
    </row>
    <row r="58" spans="1:2" x14ac:dyDescent="0.35">
      <c r="A58" s="16" t="s">
        <v>55</v>
      </c>
      <c r="B58">
        <v>3.7</v>
      </c>
    </row>
    <row r="59" spans="1:2" x14ac:dyDescent="0.35">
      <c r="A59" s="16" t="s">
        <v>56</v>
      </c>
      <c r="B59">
        <v>54.63</v>
      </c>
    </row>
    <row r="60" spans="1:2" x14ac:dyDescent="0.35">
      <c r="A60" s="13" t="s">
        <v>65</v>
      </c>
      <c r="B60">
        <v>11.03</v>
      </c>
    </row>
    <row r="61" spans="1:2" x14ac:dyDescent="0.35">
      <c r="A61" s="14" t="s">
        <v>66</v>
      </c>
      <c r="B61">
        <v>353.53</v>
      </c>
    </row>
    <row r="63" spans="1:2" x14ac:dyDescent="0.35">
      <c r="A63" s="8" t="s">
        <v>10</v>
      </c>
      <c r="B63" s="8">
        <f>B49-B50-(B51)-B52-B53-B54-B55-B56</f>
        <v>265.10000000000008</v>
      </c>
    </row>
    <row r="64" spans="1:2" x14ac:dyDescent="0.35">
      <c r="A64" s="18" t="s">
        <v>57</v>
      </c>
      <c r="B64" s="8">
        <f>B63-B57-B58</f>
        <v>212.96000000000009</v>
      </c>
    </row>
    <row r="65" spans="1:2" x14ac:dyDescent="0.35">
      <c r="A65" s="18" t="s">
        <v>58</v>
      </c>
      <c r="B65" s="8">
        <f>B64-B59</f>
        <v>158.3300000000001</v>
      </c>
    </row>
    <row r="66" spans="1:2" x14ac:dyDescent="0.35">
      <c r="A66" s="8" t="s">
        <v>36</v>
      </c>
      <c r="B66" s="8">
        <f>B49</f>
        <v>1388.8</v>
      </c>
    </row>
    <row r="67" spans="1:2" x14ac:dyDescent="0.35">
      <c r="A67" s="8" t="s">
        <v>35</v>
      </c>
      <c r="B67" s="8">
        <f>B60-B61</f>
        <v>-342.5</v>
      </c>
    </row>
    <row r="70" spans="1:2" x14ac:dyDescent="0.35">
      <c r="A70" s="31" t="s">
        <v>61</v>
      </c>
      <c r="B70" s="31"/>
    </row>
    <row r="71" spans="1:2" x14ac:dyDescent="0.35">
      <c r="A71" s="5" t="s">
        <v>53</v>
      </c>
      <c r="B71" s="15">
        <v>45747</v>
      </c>
    </row>
    <row r="72" spans="1:2" x14ac:dyDescent="0.35">
      <c r="A72" s="16" t="s">
        <v>45</v>
      </c>
      <c r="B72">
        <v>8281.93</v>
      </c>
    </row>
    <row r="73" spans="1:2" x14ac:dyDescent="0.35">
      <c r="A73" s="17" t="s">
        <v>46</v>
      </c>
      <c r="B73">
        <v>5772.59</v>
      </c>
    </row>
    <row r="74" spans="1:2" x14ac:dyDescent="0.35">
      <c r="A74" s="17" t="s">
        <v>47</v>
      </c>
      <c r="B74">
        <v>24.9</v>
      </c>
    </row>
    <row r="75" spans="1:2" x14ac:dyDescent="0.35">
      <c r="A75" s="17" t="s">
        <v>48</v>
      </c>
      <c r="B75">
        <v>463.52</v>
      </c>
    </row>
    <row r="76" spans="1:2" x14ac:dyDescent="0.35">
      <c r="A76" s="17" t="s">
        <v>49</v>
      </c>
      <c r="B76">
        <v>176.52</v>
      </c>
    </row>
    <row r="77" spans="1:2" x14ac:dyDescent="0.35">
      <c r="A77" s="17" t="s">
        <v>50</v>
      </c>
      <c r="B77">
        <v>395.82</v>
      </c>
    </row>
    <row r="78" spans="1:2" x14ac:dyDescent="0.35">
      <c r="A78" s="17" t="s">
        <v>51</v>
      </c>
      <c r="B78">
        <v>280.95</v>
      </c>
    </row>
    <row r="79" spans="1:2" x14ac:dyDescent="0.35">
      <c r="A79" s="17" t="s">
        <v>52</v>
      </c>
      <c r="B79">
        <v>122.37</v>
      </c>
    </row>
    <row r="80" spans="1:2" x14ac:dyDescent="0.35">
      <c r="A80" s="16" t="s">
        <v>54</v>
      </c>
      <c r="B80">
        <v>195.37</v>
      </c>
    </row>
    <row r="81" spans="1:2" x14ac:dyDescent="0.35">
      <c r="A81" s="16" t="s">
        <v>55</v>
      </c>
      <c r="B81">
        <v>30.8</v>
      </c>
    </row>
    <row r="82" spans="1:2" x14ac:dyDescent="0.35">
      <c r="A82" s="16" t="s">
        <v>56</v>
      </c>
      <c r="B82">
        <v>255.38</v>
      </c>
    </row>
    <row r="83" spans="1:2" x14ac:dyDescent="0.35">
      <c r="A83" s="13" t="s">
        <v>65</v>
      </c>
      <c r="B83">
        <v>1267.01</v>
      </c>
    </row>
    <row r="84" spans="1:2" x14ac:dyDescent="0.35">
      <c r="A84" s="14" t="s">
        <v>66</v>
      </c>
      <c r="B84">
        <v>406.56</v>
      </c>
    </row>
    <row r="86" spans="1:2" x14ac:dyDescent="0.35">
      <c r="A86" s="8" t="s">
        <v>10</v>
      </c>
      <c r="B86" s="8">
        <f>B72-B73-B74-B75-B76-B77-B78-B79</f>
        <v>1045.2600000000002</v>
      </c>
    </row>
    <row r="87" spans="1:2" x14ac:dyDescent="0.35">
      <c r="A87" s="18" t="s">
        <v>57</v>
      </c>
      <c r="B87" s="8">
        <f>B86-B80-B81</f>
        <v>819.09000000000026</v>
      </c>
    </row>
    <row r="88" spans="1:2" x14ac:dyDescent="0.35">
      <c r="A88" s="18" t="s">
        <v>58</v>
      </c>
      <c r="B88" s="8">
        <f>B87-B82</f>
        <v>563.71000000000026</v>
      </c>
    </row>
    <row r="89" spans="1:2" x14ac:dyDescent="0.35">
      <c r="A89" s="8" t="s">
        <v>36</v>
      </c>
      <c r="B89" s="8">
        <f>B72</f>
        <v>8281.93</v>
      </c>
    </row>
    <row r="90" spans="1:2" x14ac:dyDescent="0.35">
      <c r="A90" s="8" t="s">
        <v>35</v>
      </c>
      <c r="B90" s="8">
        <f>B83-B84</f>
        <v>860.45</v>
      </c>
    </row>
    <row r="93" spans="1:2" x14ac:dyDescent="0.35">
      <c r="A93" s="31" t="s">
        <v>62</v>
      </c>
      <c r="B93" s="31"/>
    </row>
    <row r="94" spans="1:2" x14ac:dyDescent="0.35">
      <c r="A94" s="5" t="s">
        <v>53</v>
      </c>
      <c r="B94" s="15">
        <v>45747</v>
      </c>
    </row>
    <row r="95" spans="1:2" x14ac:dyDescent="0.35">
      <c r="A95" s="16" t="s">
        <v>45</v>
      </c>
      <c r="B95">
        <v>4220.91</v>
      </c>
    </row>
    <row r="96" spans="1:2" x14ac:dyDescent="0.35">
      <c r="A96" s="17" t="s">
        <v>46</v>
      </c>
      <c r="B96">
        <v>2869.65</v>
      </c>
    </row>
    <row r="97" spans="1:2" x14ac:dyDescent="0.35">
      <c r="A97" s="17" t="s">
        <v>47</v>
      </c>
      <c r="B97">
        <v>74</v>
      </c>
    </row>
    <row r="98" spans="1:2" x14ac:dyDescent="0.35">
      <c r="A98" s="17" t="s">
        <v>48</v>
      </c>
      <c r="B98">
        <v>75.02</v>
      </c>
    </row>
    <row r="99" spans="1:2" x14ac:dyDescent="0.35">
      <c r="A99" s="17" t="s">
        <v>49</v>
      </c>
      <c r="B99">
        <v>150.08000000000001</v>
      </c>
    </row>
    <row r="100" spans="1:2" x14ac:dyDescent="0.35">
      <c r="A100" s="17" t="s">
        <v>50</v>
      </c>
      <c r="B100">
        <v>304.04000000000002</v>
      </c>
    </row>
    <row r="101" spans="1:2" x14ac:dyDescent="0.35">
      <c r="A101" s="17" t="s">
        <v>51</v>
      </c>
      <c r="B101">
        <v>324.3</v>
      </c>
    </row>
    <row r="102" spans="1:2" x14ac:dyDescent="0.35">
      <c r="A102" s="17" t="s">
        <v>52</v>
      </c>
      <c r="B102">
        <v>87.59</v>
      </c>
    </row>
    <row r="103" spans="1:2" x14ac:dyDescent="0.35">
      <c r="A103" s="16" t="s">
        <v>54</v>
      </c>
      <c r="B103">
        <v>110.34</v>
      </c>
    </row>
    <row r="104" spans="1:2" x14ac:dyDescent="0.35">
      <c r="A104" s="16" t="s">
        <v>55</v>
      </c>
      <c r="B104">
        <v>19.25</v>
      </c>
    </row>
    <row r="105" spans="1:2" x14ac:dyDescent="0.35">
      <c r="A105" s="16" t="s">
        <v>56</v>
      </c>
      <c r="B105">
        <v>75.540000000000006</v>
      </c>
    </row>
    <row r="106" spans="1:2" x14ac:dyDescent="0.35">
      <c r="A106" s="13" t="s">
        <v>65</v>
      </c>
      <c r="B106">
        <v>210.28</v>
      </c>
    </row>
    <row r="107" spans="1:2" x14ac:dyDescent="0.35">
      <c r="A107" s="14" t="s">
        <v>66</v>
      </c>
      <c r="B107">
        <v>215.84</v>
      </c>
    </row>
    <row r="109" spans="1:2" x14ac:dyDescent="0.35">
      <c r="A109" s="8" t="s">
        <v>10</v>
      </c>
      <c r="B109" s="8">
        <f>B95-B96-B97-B98-B99-B100-B101-B102</f>
        <v>336.2299999999999</v>
      </c>
    </row>
    <row r="110" spans="1:2" x14ac:dyDescent="0.35">
      <c r="A110" s="18" t="s">
        <v>57</v>
      </c>
      <c r="B110" s="8">
        <f>B109-B103-B104</f>
        <v>206.6399999999999</v>
      </c>
    </row>
    <row r="111" spans="1:2" x14ac:dyDescent="0.35">
      <c r="A111" s="18" t="s">
        <v>58</v>
      </c>
      <c r="B111" s="8">
        <f>B110-B105</f>
        <v>131.09999999999991</v>
      </c>
    </row>
    <row r="112" spans="1:2" x14ac:dyDescent="0.35">
      <c r="A112" s="8" t="s">
        <v>36</v>
      </c>
      <c r="B112" s="8">
        <f>B95</f>
        <v>4220.91</v>
      </c>
    </row>
    <row r="113" spans="1:2" x14ac:dyDescent="0.35">
      <c r="A113" s="8" t="s">
        <v>35</v>
      </c>
      <c r="B113" s="8">
        <f>B106-B107</f>
        <v>-5.5600000000000023</v>
      </c>
    </row>
    <row r="116" spans="1:2" x14ac:dyDescent="0.35">
      <c r="A116" s="32" t="s">
        <v>63</v>
      </c>
      <c r="B116" s="32"/>
    </row>
    <row r="117" spans="1:2" x14ac:dyDescent="0.35">
      <c r="A117" s="5" t="s">
        <v>53</v>
      </c>
      <c r="B117" s="15">
        <v>45747</v>
      </c>
    </row>
    <row r="118" spans="1:2" x14ac:dyDescent="0.35">
      <c r="A118" s="16" t="s">
        <v>45</v>
      </c>
      <c r="B118">
        <v>2349.38</v>
      </c>
    </row>
    <row r="119" spans="1:2" x14ac:dyDescent="0.35">
      <c r="A119" s="17" t="s">
        <v>46</v>
      </c>
      <c r="B119">
        <v>1026.72</v>
      </c>
    </row>
    <row r="120" spans="1:2" x14ac:dyDescent="0.35">
      <c r="A120" s="17" t="s">
        <v>47</v>
      </c>
      <c r="B120">
        <v>16.690000000000001</v>
      </c>
    </row>
    <row r="121" spans="1:2" x14ac:dyDescent="0.35">
      <c r="A121" s="17" t="s">
        <v>48</v>
      </c>
      <c r="B121">
        <v>166.19</v>
      </c>
    </row>
    <row r="122" spans="1:2" x14ac:dyDescent="0.35">
      <c r="A122" s="17" t="s">
        <v>49</v>
      </c>
      <c r="B122">
        <v>216.16</v>
      </c>
    </row>
    <row r="123" spans="1:2" x14ac:dyDescent="0.35">
      <c r="A123" s="17" t="s">
        <v>50</v>
      </c>
      <c r="B123">
        <v>297.18</v>
      </c>
    </row>
    <row r="124" spans="1:2" x14ac:dyDescent="0.35">
      <c r="A124" s="17" t="s">
        <v>51</v>
      </c>
      <c r="B124">
        <v>32.29</v>
      </c>
    </row>
    <row r="125" spans="1:2" x14ac:dyDescent="0.35">
      <c r="A125" s="17" t="s">
        <v>52</v>
      </c>
      <c r="B125">
        <v>93.81</v>
      </c>
    </row>
    <row r="126" spans="1:2" x14ac:dyDescent="0.35">
      <c r="A126" s="16" t="s">
        <v>54</v>
      </c>
      <c r="B126">
        <v>119.43</v>
      </c>
    </row>
    <row r="127" spans="1:2" x14ac:dyDescent="0.35">
      <c r="A127" s="16" t="s">
        <v>55</v>
      </c>
      <c r="B127">
        <v>77.930000000000007</v>
      </c>
    </row>
    <row r="128" spans="1:2" x14ac:dyDescent="0.35">
      <c r="A128" s="16" t="s">
        <v>56</v>
      </c>
      <c r="B128">
        <v>91.49</v>
      </c>
    </row>
    <row r="129" spans="1:2" x14ac:dyDescent="0.35">
      <c r="A129" s="13" t="s">
        <v>65</v>
      </c>
      <c r="B129">
        <v>1466.39</v>
      </c>
    </row>
    <row r="130" spans="1:2" x14ac:dyDescent="0.35">
      <c r="A130" s="14" t="s">
        <v>66</v>
      </c>
      <c r="B130">
        <v>40.520000000000003</v>
      </c>
    </row>
    <row r="132" spans="1:2" x14ac:dyDescent="0.35">
      <c r="A132" s="8" t="s">
        <v>10</v>
      </c>
      <c r="B132" s="8">
        <f>B118-B119-B120-B121-B122-B123-B124-B125</f>
        <v>500.34000000000009</v>
      </c>
    </row>
    <row r="133" spans="1:2" x14ac:dyDescent="0.35">
      <c r="A133" s="18" t="s">
        <v>57</v>
      </c>
      <c r="B133" s="8">
        <f>B132-B126-B127</f>
        <v>302.98000000000008</v>
      </c>
    </row>
    <row r="134" spans="1:2" x14ac:dyDescent="0.35">
      <c r="A134" s="18" t="s">
        <v>58</v>
      </c>
      <c r="B134" s="8">
        <f>B133-B128</f>
        <v>211.49000000000007</v>
      </c>
    </row>
    <row r="135" spans="1:2" x14ac:dyDescent="0.35">
      <c r="A135" s="8" t="s">
        <v>36</v>
      </c>
      <c r="B135" s="8">
        <f>B118</f>
        <v>2349.38</v>
      </c>
    </row>
    <row r="136" spans="1:2" x14ac:dyDescent="0.35">
      <c r="A136" s="8" t="s">
        <v>35</v>
      </c>
      <c r="B136" s="8">
        <f>B129-B130</f>
        <v>1425.8700000000001</v>
      </c>
    </row>
    <row r="139" spans="1:2" x14ac:dyDescent="0.35">
      <c r="A139" s="31" t="s">
        <v>64</v>
      </c>
      <c r="B139" s="31"/>
    </row>
    <row r="140" spans="1:2" x14ac:dyDescent="0.35">
      <c r="A140" s="5" t="s">
        <v>53</v>
      </c>
      <c r="B140" s="15">
        <v>45747</v>
      </c>
    </row>
    <row r="141" spans="1:2" x14ac:dyDescent="0.35">
      <c r="A141" s="16" t="s">
        <v>45</v>
      </c>
      <c r="B141">
        <v>2248.1</v>
      </c>
    </row>
    <row r="142" spans="1:2" x14ac:dyDescent="0.35">
      <c r="A142" s="17" t="s">
        <v>46</v>
      </c>
      <c r="B142">
        <v>1182.29</v>
      </c>
    </row>
    <row r="143" spans="1:2" x14ac:dyDescent="0.35">
      <c r="A143" s="17" t="s">
        <v>47</v>
      </c>
      <c r="B143">
        <v>-14.08</v>
      </c>
    </row>
    <row r="144" spans="1:2" x14ac:dyDescent="0.35">
      <c r="A144" s="17" t="s">
        <v>48</v>
      </c>
      <c r="B144">
        <v>157.28</v>
      </c>
    </row>
    <row r="145" spans="1:2" x14ac:dyDescent="0.35">
      <c r="A145" s="17" t="s">
        <v>49</v>
      </c>
      <c r="B145">
        <v>116.69</v>
      </c>
    </row>
    <row r="146" spans="1:2" x14ac:dyDescent="0.35">
      <c r="A146" s="17" t="s">
        <v>50</v>
      </c>
      <c r="B146">
        <v>138.19999999999999</v>
      </c>
    </row>
    <row r="147" spans="1:2" x14ac:dyDescent="0.35">
      <c r="A147" s="17" t="s">
        <v>51</v>
      </c>
      <c r="B147">
        <v>36.36</v>
      </c>
    </row>
    <row r="148" spans="1:2" x14ac:dyDescent="0.35">
      <c r="A148" s="17" t="s">
        <v>52</v>
      </c>
      <c r="B148">
        <v>16.64</v>
      </c>
    </row>
    <row r="149" spans="1:2" x14ac:dyDescent="0.35">
      <c r="A149" s="16" t="s">
        <v>54</v>
      </c>
      <c r="B149">
        <v>80.75</v>
      </c>
    </row>
    <row r="150" spans="1:2" x14ac:dyDescent="0.35">
      <c r="A150" s="16" t="s">
        <v>55</v>
      </c>
      <c r="B150">
        <v>1.87</v>
      </c>
    </row>
    <row r="151" spans="1:2" x14ac:dyDescent="0.35">
      <c r="A151" s="16" t="s">
        <v>56</v>
      </c>
      <c r="B151">
        <v>133</v>
      </c>
    </row>
    <row r="152" spans="1:2" x14ac:dyDescent="0.35">
      <c r="A152" s="13" t="s">
        <v>65</v>
      </c>
      <c r="B152">
        <v>62.62</v>
      </c>
    </row>
    <row r="153" spans="1:2" x14ac:dyDescent="0.35">
      <c r="A153" s="14" t="s">
        <v>66</v>
      </c>
      <c r="B153">
        <v>3.51</v>
      </c>
    </row>
    <row r="155" spans="1:2" x14ac:dyDescent="0.35">
      <c r="A155" s="8" t="s">
        <v>10</v>
      </c>
      <c r="B155" s="8">
        <f>B141-B142-(B143)-B144-B145-B146-B147-B148</f>
        <v>614.7199999999998</v>
      </c>
    </row>
    <row r="156" spans="1:2" x14ac:dyDescent="0.35">
      <c r="A156" s="18" t="s">
        <v>57</v>
      </c>
      <c r="B156" s="8">
        <f>B155-B149-B150</f>
        <v>532.0999999999998</v>
      </c>
    </row>
    <row r="157" spans="1:2" x14ac:dyDescent="0.35">
      <c r="A157" s="18" t="s">
        <v>58</v>
      </c>
      <c r="B157" s="8">
        <f>B156-B151</f>
        <v>399.0999999999998</v>
      </c>
    </row>
    <row r="158" spans="1:2" x14ac:dyDescent="0.35">
      <c r="A158" s="8" t="s">
        <v>36</v>
      </c>
      <c r="B158" s="8">
        <f>B141</f>
        <v>2248.1</v>
      </c>
    </row>
    <row r="159" spans="1:2" x14ac:dyDescent="0.35">
      <c r="A159" s="8" t="s">
        <v>35</v>
      </c>
      <c r="B159" s="8">
        <f>B152-B153</f>
        <v>59.11</v>
      </c>
    </row>
  </sheetData>
  <mergeCells count="7">
    <mergeCell ref="A139:B139"/>
    <mergeCell ref="A1:B1"/>
    <mergeCell ref="A24:B24"/>
    <mergeCell ref="A47:B47"/>
    <mergeCell ref="A70:B70"/>
    <mergeCell ref="A93:B93"/>
    <mergeCell ref="A116:B1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CCA</vt:lpstr>
      <vt:lpstr>FORWARD No- FY26, FY27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   JAIN</dc:creator>
  <cp:lastModifiedBy>PRATHA   JAIN</cp:lastModifiedBy>
  <dcterms:created xsi:type="dcterms:W3CDTF">2026-05-27T04:51:00Z</dcterms:created>
  <dcterms:modified xsi:type="dcterms:W3CDTF">2026-05-30T06:18:01Z</dcterms:modified>
</cp:coreProperties>
</file>